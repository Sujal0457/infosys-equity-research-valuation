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3.xml" ContentType="application/vnd.openxmlformats-officedocument.drawing+xml"/>
  <Override PartName="/xl/comments8.xml" ContentType="application/vnd.openxmlformats-officedocument.spreadsheetml.comments+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sujalsingh/Downloads/infosys final done 1 /"/>
    </mc:Choice>
  </mc:AlternateContent>
  <xr:revisionPtr revIDLastSave="0" documentId="13_ncr:1_{4A5D40F9-1F29-004C-8683-BA981C2D48CA}" xr6:coauthVersionLast="47" xr6:coauthVersionMax="47" xr10:uidLastSave="{00000000-0000-0000-0000-000000000000}"/>
  <bookViews>
    <workbookView xWindow="0" yWindow="600" windowWidth="25200" windowHeight="16240" tabRatio="500" firstSheet="26" activeTab="20" xr2:uid="{00000000-000D-0000-FFFF-FFFF00000000}"/>
  </bookViews>
  <sheets>
    <sheet name="Model Checks" sheetId="2" r:id="rId1"/>
    <sheet name="Valuation Summary" sheetId="3" r:id="rId2"/>
    <sheet name="Investment Thesis" sheetId="4" r:id="rId3"/>
    <sheet name="Legacy vs Integrated" sheetId="5" r:id="rId4"/>
    <sheet name="Audit Summary" sheetId="6" r:id="rId5"/>
    <sheet name="HistoricalFS" sheetId="7" r:id="rId6"/>
    <sheet name="Profit &amp; Loss" sheetId="8" r:id="rId7"/>
    <sheet name="Balance Sheet" sheetId="9" r:id="rId8"/>
    <sheet name="Quarters" sheetId="10" r:id="rId9"/>
    <sheet name="Common Size Statement" sheetId="11" r:id="rId10"/>
    <sheet name="Ratio Analysis" sheetId="12" r:id="rId11"/>
    <sheet name="Dupont Analysis" sheetId="13" r:id="rId12"/>
    <sheet name="Altman Z Score" sheetId="14" r:id="rId13"/>
    <sheet name="Operating Drivers" sheetId="15" r:id="rId14"/>
    <sheet name="Forecasting" sheetId="16" r:id="rId15"/>
    <sheet name="Forecast Scenarios" sheetId="17" r:id="rId16"/>
    <sheet name="Scenarios" sheetId="18" r:id="rId17"/>
    <sheet name="Segment Forecast" sheetId="19" r:id="rId18"/>
    <sheet name="Segment Profitability" sheetId="20" r:id="rId19"/>
    <sheet name="AI &amp; Business Outlook" sheetId="21" r:id="rId20"/>
    <sheet name="Normalization Bridge" sheetId="22" r:id="rId21"/>
    <sheet name="WACC" sheetId="23" r:id="rId22"/>
    <sheet name="Beta - Regression" sheetId="24" r:id="rId23"/>
    <sheet name="Peer - Beta Regression" sheetId="25" r:id="rId24"/>
    <sheet name="Beta - Comps" sheetId="26" r:id="rId25"/>
    <sheet name="Rm" sheetId="27" r:id="rId26"/>
    <sheet name="Intrinsic Growth" sheetId="28" r:id="rId27"/>
    <sheet name="DCF&gt;" sheetId="29" r:id="rId28"/>
    <sheet name="Integrated Operating Model" sheetId="30" r:id="rId29"/>
    <sheet name="DCF Integration" sheetId="31" r:id="rId30"/>
    <sheet name="Comps Val" sheetId="32" r:id="rId31"/>
    <sheet name="Football Field" sheetId="33" r:id="rId32"/>
    <sheet name="Data Sheet" sheetId="34" r:id="rId33"/>
    <sheet name="Data&gt;" sheetId="35" r:id="rId34"/>
    <sheet name="Raw FS" sheetId="36" r:id="rId35"/>
    <sheet name="Cash Flow Data" sheetId="37" r:id="rId36"/>
  </sheets>
  <externalReferences>
    <externalReference r:id="rId37"/>
  </externalReferences>
  <definedNames>
    <definedName name="_xlnm._FilterDatabase" localSheetId="22" hidden="1">'Beta - Regression'!$B$9:$D$114</definedName>
    <definedName name="_xlnm.Print_Area" localSheetId="0">'Model Checks'!$A$1:$D$25</definedName>
    <definedName name="UPDATE">'Data Sheet'!$E$1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L27" i="36" l="1"/>
  <c r="K27" i="36"/>
  <c r="J27" i="36"/>
  <c r="I27" i="36"/>
  <c r="H27" i="36"/>
  <c r="G27" i="36"/>
  <c r="F27" i="36"/>
  <c r="E27" i="36"/>
  <c r="D27" i="36"/>
  <c r="C27" i="36"/>
  <c r="O12" i="35"/>
  <c r="I12" i="35"/>
  <c r="F12" i="35"/>
  <c r="O11" i="35"/>
  <c r="I11" i="35"/>
  <c r="F11" i="35"/>
  <c r="O10" i="35"/>
  <c r="I10" i="35"/>
  <c r="F10" i="35"/>
  <c r="O9" i="35"/>
  <c r="I9" i="35"/>
  <c r="F9" i="35"/>
  <c r="O8" i="35"/>
  <c r="I8" i="35"/>
  <c r="F8" i="35"/>
  <c r="O7" i="35"/>
  <c r="I7" i="35"/>
  <c r="F7" i="35"/>
  <c r="O6" i="35"/>
  <c r="I6" i="35"/>
  <c r="F6" i="35"/>
  <c r="O5" i="35"/>
  <c r="I5" i="35"/>
  <c r="F5" i="35"/>
  <c r="O4" i="35"/>
  <c r="I4" i="35"/>
  <c r="F4" i="35"/>
  <c r="O3" i="35"/>
  <c r="G3" i="35"/>
  <c r="I3" i="35" s="1"/>
  <c r="F3" i="35"/>
  <c r="J3" i="35" s="1"/>
  <c r="K76" i="34"/>
  <c r="J76" i="34"/>
  <c r="I76" i="34"/>
  <c r="H76" i="34"/>
  <c r="G76" i="34"/>
  <c r="F76" i="34"/>
  <c r="E76" i="34"/>
  <c r="D76" i="34"/>
  <c r="C76" i="34"/>
  <c r="B76" i="34"/>
  <c r="K74" i="34"/>
  <c r="J74" i="34"/>
  <c r="I74" i="34"/>
  <c r="H74" i="34"/>
  <c r="G74" i="34"/>
  <c r="F74" i="34"/>
  <c r="E74" i="34"/>
  <c r="D74" i="34"/>
  <c r="C74" i="34"/>
  <c r="B74" i="34"/>
  <c r="K51" i="34"/>
  <c r="J51" i="34"/>
  <c r="I51" i="34"/>
  <c r="H51" i="34"/>
  <c r="G51" i="34"/>
  <c r="F51" i="34"/>
  <c r="E51" i="34"/>
  <c r="D51" i="34"/>
  <c r="C51" i="34"/>
  <c r="B51" i="34"/>
  <c r="K34" i="34"/>
  <c r="J34" i="34"/>
  <c r="I34" i="34"/>
  <c r="H34" i="34"/>
  <c r="G34" i="34"/>
  <c r="F34" i="34"/>
  <c r="E34" i="34"/>
  <c r="D34" i="34"/>
  <c r="C34" i="34"/>
  <c r="B34" i="34"/>
  <c r="A1" i="33"/>
  <c r="M20" i="32"/>
  <c r="L20" i="32"/>
  <c r="K20" i="32"/>
  <c r="G20" i="32"/>
  <c r="E20" i="32"/>
  <c r="D20" i="32"/>
  <c r="B20" i="32"/>
  <c r="M19" i="32"/>
  <c r="L19" i="32"/>
  <c r="K19" i="32"/>
  <c r="G19" i="32"/>
  <c r="E19" i="32"/>
  <c r="F19" i="32" s="1"/>
  <c r="Q19" i="32" s="1"/>
  <c r="D19" i="32"/>
  <c r="B19" i="32"/>
  <c r="M18" i="32"/>
  <c r="L18" i="32"/>
  <c r="K18" i="32"/>
  <c r="G18" i="32"/>
  <c r="E18" i="32"/>
  <c r="D18" i="32"/>
  <c r="B18" i="32"/>
  <c r="M17" i="32"/>
  <c r="L17" i="32"/>
  <c r="K17" i="32"/>
  <c r="G17" i="32"/>
  <c r="E17" i="32"/>
  <c r="F17" i="32" s="1"/>
  <c r="Q17" i="32" s="1"/>
  <c r="D17" i="32"/>
  <c r="B17" i="32"/>
  <c r="M16" i="32"/>
  <c r="L16" i="32"/>
  <c r="K16" i="32"/>
  <c r="G16" i="32"/>
  <c r="E16" i="32"/>
  <c r="F16" i="32" s="1"/>
  <c r="D16" i="32"/>
  <c r="B16" i="32"/>
  <c r="M15" i="32"/>
  <c r="L15" i="32"/>
  <c r="K15" i="32"/>
  <c r="G15" i="32"/>
  <c r="E15" i="32"/>
  <c r="F15" i="32" s="1"/>
  <c r="Q15" i="32" s="1"/>
  <c r="D15" i="32"/>
  <c r="B15" i="32"/>
  <c r="M14" i="32"/>
  <c r="L14" i="32"/>
  <c r="K14" i="32"/>
  <c r="G14" i="32"/>
  <c r="E14" i="32"/>
  <c r="F14" i="32" s="1"/>
  <c r="D14" i="32"/>
  <c r="B14" i="32"/>
  <c r="M13" i="32"/>
  <c r="L13" i="32"/>
  <c r="K13" i="32"/>
  <c r="G13" i="32"/>
  <c r="E13" i="32"/>
  <c r="F13" i="32" s="1"/>
  <c r="Q13" i="32" s="1"/>
  <c r="D13" i="32"/>
  <c r="B13" i="32"/>
  <c r="M12" i="32"/>
  <c r="L12" i="32"/>
  <c r="K12" i="32"/>
  <c r="G12" i="32"/>
  <c r="E12" i="32"/>
  <c r="F12" i="32" s="1"/>
  <c r="D12" i="32"/>
  <c r="B12" i="32"/>
  <c r="M11" i="32"/>
  <c r="L11" i="32"/>
  <c r="K11" i="32"/>
  <c r="E11" i="32"/>
  <c r="Q34" i="32" s="1"/>
  <c r="D11" i="32"/>
  <c r="B11" i="32"/>
  <c r="B10" i="32"/>
  <c r="A1" i="32"/>
  <c r="G12" i="30"/>
  <c r="F12" i="30"/>
  <c r="E12" i="30"/>
  <c r="D12" i="30"/>
  <c r="C12" i="30"/>
  <c r="F60" i="29"/>
  <c r="D50" i="29"/>
  <c r="D46" i="29"/>
  <c r="D32" i="29"/>
  <c r="F25" i="29"/>
  <c r="G10" i="29"/>
  <c r="H10" i="29" s="1"/>
  <c r="I10" i="29" s="1"/>
  <c r="J10" i="29" s="1"/>
  <c r="K10" i="29" s="1"/>
  <c r="F10" i="29"/>
  <c r="A1" i="29"/>
  <c r="H58" i="28"/>
  <c r="K48" i="28"/>
  <c r="J48" i="28"/>
  <c r="I48" i="28"/>
  <c r="H48" i="28"/>
  <c r="G48" i="28"/>
  <c r="J42" i="28"/>
  <c r="J58" i="28" s="1"/>
  <c r="G42" i="28"/>
  <c r="G58" i="28" s="1"/>
  <c r="K34" i="28"/>
  <c r="K33" i="28"/>
  <c r="J33" i="28"/>
  <c r="I33" i="28"/>
  <c r="H33" i="28"/>
  <c r="G33" i="28"/>
  <c r="K31" i="28"/>
  <c r="J31" i="28"/>
  <c r="I31" i="28"/>
  <c r="H31" i="28"/>
  <c r="G31" i="28"/>
  <c r="B31" i="28"/>
  <c r="K30" i="28"/>
  <c r="J30" i="28"/>
  <c r="I30" i="28"/>
  <c r="H30" i="28"/>
  <c r="G30" i="28"/>
  <c r="B30" i="28"/>
  <c r="K29" i="28"/>
  <c r="J29" i="28"/>
  <c r="I29" i="28"/>
  <c r="H29" i="28"/>
  <c r="G29" i="28"/>
  <c r="B29" i="28"/>
  <c r="K28" i="28"/>
  <c r="J28" i="28"/>
  <c r="I28" i="28"/>
  <c r="H28" i="28"/>
  <c r="G28" i="28"/>
  <c r="B28" i="28"/>
  <c r="K27" i="28"/>
  <c r="J27" i="28"/>
  <c r="I27" i="28"/>
  <c r="H27" i="28"/>
  <c r="G27" i="28"/>
  <c r="B27" i="28"/>
  <c r="K26" i="28"/>
  <c r="J26" i="28"/>
  <c r="I26" i="28"/>
  <c r="H26" i="28"/>
  <c r="H32" i="28" s="1"/>
  <c r="H34" i="28" s="1"/>
  <c r="H36" i="28" s="1"/>
  <c r="G26" i="28"/>
  <c r="B26" i="28"/>
  <c r="K25" i="28"/>
  <c r="J25" i="28"/>
  <c r="I25" i="28"/>
  <c r="I32" i="28" s="1"/>
  <c r="I34" i="28" s="1"/>
  <c r="H25" i="28"/>
  <c r="G25" i="28"/>
  <c r="B25" i="28"/>
  <c r="K24" i="28"/>
  <c r="J24" i="28"/>
  <c r="I24" i="28"/>
  <c r="H24" i="28"/>
  <c r="G24" i="28"/>
  <c r="G32" i="28" s="1"/>
  <c r="G34" i="28" s="1"/>
  <c r="B24" i="28"/>
  <c r="K23" i="28"/>
  <c r="K32" i="28" s="1"/>
  <c r="J23" i="28"/>
  <c r="J32" i="28" s="1"/>
  <c r="J34" i="28" s="1"/>
  <c r="I23" i="28"/>
  <c r="H23" i="28"/>
  <c r="G23" i="28"/>
  <c r="B23" i="28"/>
  <c r="H18" i="28"/>
  <c r="H20" i="28" s="1"/>
  <c r="K17" i="28"/>
  <c r="J17" i="28"/>
  <c r="I17" i="28"/>
  <c r="H17" i="28"/>
  <c r="G17" i="28"/>
  <c r="B17" i="28"/>
  <c r="K16" i="28"/>
  <c r="K18" i="28" s="1"/>
  <c r="K20" i="28" s="1"/>
  <c r="K45" i="28" s="1"/>
  <c r="J16" i="28"/>
  <c r="I16" i="28"/>
  <c r="H16" i="28"/>
  <c r="G16" i="28"/>
  <c r="B16" i="28"/>
  <c r="K15" i="28"/>
  <c r="J15" i="28"/>
  <c r="J18" i="28" s="1"/>
  <c r="I15" i="28"/>
  <c r="I18" i="28" s="1"/>
  <c r="H15" i="28"/>
  <c r="G15" i="28"/>
  <c r="G18" i="28" s="1"/>
  <c r="B15" i="28"/>
  <c r="J12" i="28"/>
  <c r="J20" i="28" s="1"/>
  <c r="K11" i="28"/>
  <c r="J11" i="28"/>
  <c r="I11" i="28"/>
  <c r="H11" i="28"/>
  <c r="G11" i="28"/>
  <c r="B11" i="28"/>
  <c r="K10" i="28"/>
  <c r="J10" i="28"/>
  <c r="I10" i="28"/>
  <c r="H10" i="28"/>
  <c r="G10" i="28"/>
  <c r="G12" i="28" s="1"/>
  <c r="G20" i="28" s="1"/>
  <c r="B10" i="28"/>
  <c r="K9" i="28"/>
  <c r="K12" i="28" s="1"/>
  <c r="J9" i="28"/>
  <c r="I9" i="28"/>
  <c r="H9" i="28"/>
  <c r="H12" i="28" s="1"/>
  <c r="G9" i="28"/>
  <c r="B9" i="28"/>
  <c r="K6" i="28"/>
  <c r="K42" i="28" s="1"/>
  <c r="K58" i="28" s="1"/>
  <c r="J6" i="28"/>
  <c r="I6" i="28"/>
  <c r="I42" i="28" s="1"/>
  <c r="I58" i="28" s="1"/>
  <c r="H6" i="28"/>
  <c r="H42" i="28" s="1"/>
  <c r="G6" i="28"/>
  <c r="D34" i="27"/>
  <c r="D33" i="27"/>
  <c r="D32" i="27"/>
  <c r="D31" i="27"/>
  <c r="D30" i="27"/>
  <c r="D29" i="27"/>
  <c r="D28" i="27"/>
  <c r="D27" i="27"/>
  <c r="D26" i="27"/>
  <c r="D25" i="27"/>
  <c r="D24" i="27"/>
  <c r="D23" i="27"/>
  <c r="D22" i="27"/>
  <c r="D21" i="27"/>
  <c r="D20" i="27"/>
  <c r="D19" i="27"/>
  <c r="D18" i="27"/>
  <c r="D17" i="27"/>
  <c r="D16" i="27"/>
  <c r="F15" i="27"/>
  <c r="F11" i="27" s="1"/>
  <c r="K28" i="23" s="1"/>
  <c r="D15" i="27"/>
  <c r="D14" i="27"/>
  <c r="F13" i="27"/>
  <c r="D13" i="27"/>
  <c r="D12" i="27"/>
  <c r="D11" i="27"/>
  <c r="D10" i="27"/>
  <c r="F9" i="27"/>
  <c r="D9" i="27"/>
  <c r="G9" i="26"/>
  <c r="F9" i="26"/>
  <c r="H9" i="26" s="1"/>
  <c r="A1" i="26"/>
  <c r="Q116" i="25"/>
  <c r="N116" i="25"/>
  <c r="K116" i="25"/>
  <c r="H116" i="25"/>
  <c r="I16" i="23" s="1"/>
  <c r="J16" i="23" s="1"/>
  <c r="E116" i="25"/>
  <c r="U114" i="25"/>
  <c r="Q114" i="25"/>
  <c r="N114" i="25"/>
  <c r="K114" i="25"/>
  <c r="H114" i="25"/>
  <c r="E114" i="25"/>
  <c r="U113" i="25"/>
  <c r="Q113" i="25"/>
  <c r="N113" i="25"/>
  <c r="K113" i="25"/>
  <c r="H113" i="25"/>
  <c r="E113" i="25"/>
  <c r="U112" i="25"/>
  <c r="Q112" i="25"/>
  <c r="N112" i="25"/>
  <c r="K112" i="25"/>
  <c r="H112" i="25"/>
  <c r="E112" i="25"/>
  <c r="U111" i="25"/>
  <c r="Q111" i="25"/>
  <c r="N111" i="25"/>
  <c r="K111" i="25"/>
  <c r="H111" i="25"/>
  <c r="E111" i="25"/>
  <c r="U110" i="25"/>
  <c r="Q110" i="25"/>
  <c r="N110" i="25"/>
  <c r="K110" i="25"/>
  <c r="H110" i="25"/>
  <c r="E110" i="25"/>
  <c r="U109" i="25"/>
  <c r="Q109" i="25"/>
  <c r="N109" i="25"/>
  <c r="K109" i="25"/>
  <c r="H109" i="25"/>
  <c r="E109" i="25"/>
  <c r="U108" i="25"/>
  <c r="Q108" i="25"/>
  <c r="N108" i="25"/>
  <c r="K108" i="25"/>
  <c r="H108" i="25"/>
  <c r="E108" i="25"/>
  <c r="U107" i="25"/>
  <c r="Q107" i="25"/>
  <c r="N107" i="25"/>
  <c r="K107" i="25"/>
  <c r="H107" i="25"/>
  <c r="E107" i="25"/>
  <c r="U106" i="25"/>
  <c r="Q106" i="25"/>
  <c r="N106" i="25"/>
  <c r="K106" i="25"/>
  <c r="H106" i="25"/>
  <c r="E106" i="25"/>
  <c r="U105" i="25"/>
  <c r="Q105" i="25"/>
  <c r="N105" i="25"/>
  <c r="K105" i="25"/>
  <c r="H105" i="25"/>
  <c r="E105" i="25"/>
  <c r="U104" i="25"/>
  <c r="Q104" i="25"/>
  <c r="N104" i="25"/>
  <c r="K104" i="25"/>
  <c r="H104" i="25"/>
  <c r="E104" i="25"/>
  <c r="U103" i="25"/>
  <c r="Q103" i="25"/>
  <c r="N103" i="25"/>
  <c r="K103" i="25"/>
  <c r="H103" i="25"/>
  <c r="E103" i="25"/>
  <c r="U102" i="25"/>
  <c r="Q102" i="25"/>
  <c r="N102" i="25"/>
  <c r="K102" i="25"/>
  <c r="H102" i="25"/>
  <c r="E102" i="25"/>
  <c r="U101" i="25"/>
  <c r="Q101" i="25"/>
  <c r="N101" i="25"/>
  <c r="K101" i="25"/>
  <c r="H101" i="25"/>
  <c r="E101" i="25"/>
  <c r="U100" i="25"/>
  <c r="Q100" i="25"/>
  <c r="N100" i="25"/>
  <c r="K100" i="25"/>
  <c r="H100" i="25"/>
  <c r="E100" i="25"/>
  <c r="U99" i="25"/>
  <c r="Q99" i="25"/>
  <c r="N99" i="25"/>
  <c r="K99" i="25"/>
  <c r="H99" i="25"/>
  <c r="E99" i="25"/>
  <c r="U98" i="25"/>
  <c r="Q98" i="25"/>
  <c r="N98" i="25"/>
  <c r="K98" i="25"/>
  <c r="H98" i="25"/>
  <c r="E98" i="25"/>
  <c r="U97" i="25"/>
  <c r="Q97" i="25"/>
  <c r="N97" i="25"/>
  <c r="K97" i="25"/>
  <c r="H97" i="25"/>
  <c r="E97" i="25"/>
  <c r="U96" i="25"/>
  <c r="Q96" i="25"/>
  <c r="N96" i="25"/>
  <c r="K96" i="25"/>
  <c r="H96" i="25"/>
  <c r="E96" i="25"/>
  <c r="U95" i="25"/>
  <c r="Q95" i="25"/>
  <c r="N95" i="25"/>
  <c r="K95" i="25"/>
  <c r="H95" i="25"/>
  <c r="E95" i="25"/>
  <c r="U94" i="25"/>
  <c r="Q94" i="25"/>
  <c r="N94" i="25"/>
  <c r="K94" i="25"/>
  <c r="H94" i="25"/>
  <c r="E94" i="25"/>
  <c r="U93" i="25"/>
  <c r="Q93" i="25"/>
  <c r="N93" i="25"/>
  <c r="K93" i="25"/>
  <c r="H93" i="25"/>
  <c r="E93" i="25"/>
  <c r="U92" i="25"/>
  <c r="Q92" i="25"/>
  <c r="N92" i="25"/>
  <c r="K92" i="25"/>
  <c r="H92" i="25"/>
  <c r="E92" i="25"/>
  <c r="U91" i="25"/>
  <c r="Q91" i="25"/>
  <c r="N91" i="25"/>
  <c r="K91" i="25"/>
  <c r="H91" i="25"/>
  <c r="E91" i="25"/>
  <c r="U90" i="25"/>
  <c r="Q90" i="25"/>
  <c r="N90" i="25"/>
  <c r="K90" i="25"/>
  <c r="H90" i="25"/>
  <c r="E90" i="25"/>
  <c r="U89" i="25"/>
  <c r="Q89" i="25"/>
  <c r="N89" i="25"/>
  <c r="K89" i="25"/>
  <c r="H89" i="25"/>
  <c r="E89" i="25"/>
  <c r="U88" i="25"/>
  <c r="Q88" i="25"/>
  <c r="N88" i="25"/>
  <c r="K88" i="25"/>
  <c r="H88" i="25"/>
  <c r="E88" i="25"/>
  <c r="U87" i="25"/>
  <c r="Q87" i="25"/>
  <c r="N87" i="25"/>
  <c r="K87" i="25"/>
  <c r="H87" i="25"/>
  <c r="E87" i="25"/>
  <c r="U86" i="25"/>
  <c r="Q86" i="25"/>
  <c r="N86" i="25"/>
  <c r="K86" i="25"/>
  <c r="H86" i="25"/>
  <c r="E86" i="25"/>
  <c r="U85" i="25"/>
  <c r="Q85" i="25"/>
  <c r="N85" i="25"/>
  <c r="K85" i="25"/>
  <c r="H85" i="25"/>
  <c r="E85" i="25"/>
  <c r="U84" i="25"/>
  <c r="Q84" i="25"/>
  <c r="N84" i="25"/>
  <c r="K84" i="25"/>
  <c r="H84" i="25"/>
  <c r="E84" i="25"/>
  <c r="U83" i="25"/>
  <c r="Q83" i="25"/>
  <c r="N83" i="25"/>
  <c r="K83" i="25"/>
  <c r="H83" i="25"/>
  <c r="E83" i="25"/>
  <c r="U82" i="25"/>
  <c r="Q82" i="25"/>
  <c r="N82" i="25"/>
  <c r="K82" i="25"/>
  <c r="H82" i="25"/>
  <c r="E82" i="25"/>
  <c r="U81" i="25"/>
  <c r="Q81" i="25"/>
  <c r="N81" i="25"/>
  <c r="K81" i="25"/>
  <c r="H81" i="25"/>
  <c r="E81" i="25"/>
  <c r="U80" i="25"/>
  <c r="Q80" i="25"/>
  <c r="N80" i="25"/>
  <c r="K80" i="25"/>
  <c r="H80" i="25"/>
  <c r="E80" i="25"/>
  <c r="U79" i="25"/>
  <c r="Q79" i="25"/>
  <c r="N79" i="25"/>
  <c r="K79" i="25"/>
  <c r="H79" i="25"/>
  <c r="E79" i="25"/>
  <c r="U78" i="25"/>
  <c r="Q78" i="25"/>
  <c r="N78" i="25"/>
  <c r="K78" i="25"/>
  <c r="H78" i="25"/>
  <c r="E78" i="25"/>
  <c r="U77" i="25"/>
  <c r="Q77" i="25"/>
  <c r="N77" i="25"/>
  <c r="K77" i="25"/>
  <c r="H77" i="25"/>
  <c r="E77" i="25"/>
  <c r="U76" i="25"/>
  <c r="Q76" i="25"/>
  <c r="N76" i="25"/>
  <c r="K76" i="25"/>
  <c r="H76" i="25"/>
  <c r="E76" i="25"/>
  <c r="U75" i="25"/>
  <c r="Q75" i="25"/>
  <c r="N75" i="25"/>
  <c r="K75" i="25"/>
  <c r="H75" i="25"/>
  <c r="E75" i="25"/>
  <c r="U74" i="25"/>
  <c r="Q74" i="25"/>
  <c r="N74" i="25"/>
  <c r="K74" i="25"/>
  <c r="H74" i="25"/>
  <c r="E74" i="25"/>
  <c r="U73" i="25"/>
  <c r="Q73" i="25"/>
  <c r="N73" i="25"/>
  <c r="K73" i="25"/>
  <c r="H73" i="25"/>
  <c r="E73" i="25"/>
  <c r="U72" i="25"/>
  <c r="Q72" i="25"/>
  <c r="N72" i="25"/>
  <c r="K72" i="25"/>
  <c r="H72" i="25"/>
  <c r="E72" i="25"/>
  <c r="U71" i="25"/>
  <c r="Q71" i="25"/>
  <c r="N71" i="25"/>
  <c r="K71" i="25"/>
  <c r="H71" i="25"/>
  <c r="E71" i="25"/>
  <c r="U70" i="25"/>
  <c r="Q70" i="25"/>
  <c r="N70" i="25"/>
  <c r="K70" i="25"/>
  <c r="H70" i="25"/>
  <c r="E70" i="25"/>
  <c r="U69" i="25"/>
  <c r="Q69" i="25"/>
  <c r="N69" i="25"/>
  <c r="K69" i="25"/>
  <c r="H69" i="25"/>
  <c r="E69" i="25"/>
  <c r="U68" i="25"/>
  <c r="Q68" i="25"/>
  <c r="N68" i="25"/>
  <c r="K68" i="25"/>
  <c r="H68" i="25"/>
  <c r="E68" i="25"/>
  <c r="U67" i="25"/>
  <c r="Q67" i="25"/>
  <c r="N67" i="25"/>
  <c r="K67" i="25"/>
  <c r="H67" i="25"/>
  <c r="E67" i="25"/>
  <c r="U66" i="25"/>
  <c r="Q66" i="25"/>
  <c r="N66" i="25"/>
  <c r="K66" i="25"/>
  <c r="H66" i="25"/>
  <c r="E66" i="25"/>
  <c r="U65" i="25"/>
  <c r="Q65" i="25"/>
  <c r="N65" i="25"/>
  <c r="K65" i="25"/>
  <c r="H65" i="25"/>
  <c r="E65" i="25"/>
  <c r="U64" i="25"/>
  <c r="Q64" i="25"/>
  <c r="N64" i="25"/>
  <c r="K64" i="25"/>
  <c r="H64" i="25"/>
  <c r="E64" i="25"/>
  <c r="U63" i="25"/>
  <c r="Q63" i="25"/>
  <c r="N63" i="25"/>
  <c r="K63" i="25"/>
  <c r="H63" i="25"/>
  <c r="E63" i="25"/>
  <c r="U62" i="25"/>
  <c r="Q62" i="25"/>
  <c r="N62" i="25"/>
  <c r="K62" i="25"/>
  <c r="H62" i="25"/>
  <c r="E62" i="25"/>
  <c r="U61" i="25"/>
  <c r="Q61" i="25"/>
  <c r="N61" i="25"/>
  <c r="K61" i="25"/>
  <c r="H61" i="25"/>
  <c r="E61" i="25"/>
  <c r="U60" i="25"/>
  <c r="Q60" i="25"/>
  <c r="N60" i="25"/>
  <c r="K60" i="25"/>
  <c r="H60" i="25"/>
  <c r="E60" i="25"/>
  <c r="U59" i="25"/>
  <c r="Q59" i="25"/>
  <c r="N59" i="25"/>
  <c r="K59" i="25"/>
  <c r="H59" i="25"/>
  <c r="E59" i="25"/>
  <c r="U58" i="25"/>
  <c r="Q58" i="25"/>
  <c r="N58" i="25"/>
  <c r="K58" i="25"/>
  <c r="H58" i="25"/>
  <c r="E58" i="25"/>
  <c r="U57" i="25"/>
  <c r="Q57" i="25"/>
  <c r="N57" i="25"/>
  <c r="K57" i="25"/>
  <c r="H57" i="25"/>
  <c r="E57" i="25"/>
  <c r="U56" i="25"/>
  <c r="Q56" i="25"/>
  <c r="N56" i="25"/>
  <c r="K56" i="25"/>
  <c r="H56" i="25"/>
  <c r="E56" i="25"/>
  <c r="U55" i="25"/>
  <c r="Q55" i="25"/>
  <c r="N55" i="25"/>
  <c r="K55" i="25"/>
  <c r="H55" i="25"/>
  <c r="E55" i="25"/>
  <c r="U54" i="25"/>
  <c r="Q54" i="25"/>
  <c r="N54" i="25"/>
  <c r="K54" i="25"/>
  <c r="H54" i="25"/>
  <c r="E54" i="25"/>
  <c r="U53" i="25"/>
  <c r="Q53" i="25"/>
  <c r="N53" i="25"/>
  <c r="K53" i="25"/>
  <c r="H53" i="25"/>
  <c r="E53" i="25"/>
  <c r="U52" i="25"/>
  <c r="Q52" i="25"/>
  <c r="N52" i="25"/>
  <c r="K52" i="25"/>
  <c r="H52" i="25"/>
  <c r="E52" i="25"/>
  <c r="U51" i="25"/>
  <c r="Q51" i="25"/>
  <c r="N51" i="25"/>
  <c r="K51" i="25"/>
  <c r="H51" i="25"/>
  <c r="E51" i="25"/>
  <c r="U50" i="25"/>
  <c r="Q50" i="25"/>
  <c r="N50" i="25"/>
  <c r="K50" i="25"/>
  <c r="H50" i="25"/>
  <c r="E50" i="25"/>
  <c r="U49" i="25"/>
  <c r="Q49" i="25"/>
  <c r="N49" i="25"/>
  <c r="K49" i="25"/>
  <c r="H49" i="25"/>
  <c r="E49" i="25"/>
  <c r="U48" i="25"/>
  <c r="Q48" i="25"/>
  <c r="N48" i="25"/>
  <c r="K48" i="25"/>
  <c r="H48" i="25"/>
  <c r="E48" i="25"/>
  <c r="U47" i="25"/>
  <c r="Q47" i="25"/>
  <c r="N47" i="25"/>
  <c r="K47" i="25"/>
  <c r="H47" i="25"/>
  <c r="E47" i="25"/>
  <c r="U46" i="25"/>
  <c r="Q46" i="25"/>
  <c r="N46" i="25"/>
  <c r="K46" i="25"/>
  <c r="H46" i="25"/>
  <c r="E46" i="25"/>
  <c r="U45" i="25"/>
  <c r="Q45" i="25"/>
  <c r="N45" i="25"/>
  <c r="K45" i="25"/>
  <c r="H45" i="25"/>
  <c r="E45" i="25"/>
  <c r="U44" i="25"/>
  <c r="Q44" i="25"/>
  <c r="N44" i="25"/>
  <c r="K44" i="25"/>
  <c r="H44" i="25"/>
  <c r="E44" i="25"/>
  <c r="U43" i="25"/>
  <c r="Q43" i="25"/>
  <c r="N43" i="25"/>
  <c r="K43" i="25"/>
  <c r="H43" i="25"/>
  <c r="E43" i="25"/>
  <c r="U42" i="25"/>
  <c r="Q42" i="25"/>
  <c r="N42" i="25"/>
  <c r="K42" i="25"/>
  <c r="H42" i="25"/>
  <c r="E42" i="25"/>
  <c r="U41" i="25"/>
  <c r="Q41" i="25"/>
  <c r="N41" i="25"/>
  <c r="K41" i="25"/>
  <c r="H41" i="25"/>
  <c r="E41" i="25"/>
  <c r="U40" i="25"/>
  <c r="Q40" i="25"/>
  <c r="N40" i="25"/>
  <c r="K40" i="25"/>
  <c r="H40" i="25"/>
  <c r="E40" i="25"/>
  <c r="U39" i="25"/>
  <c r="Q39" i="25"/>
  <c r="N39" i="25"/>
  <c r="K39" i="25"/>
  <c r="H39" i="25"/>
  <c r="E39" i="25"/>
  <c r="U38" i="25"/>
  <c r="Q38" i="25"/>
  <c r="N38" i="25"/>
  <c r="K38" i="25"/>
  <c r="H38" i="25"/>
  <c r="E38" i="25"/>
  <c r="U37" i="25"/>
  <c r="Q37" i="25"/>
  <c r="N37" i="25"/>
  <c r="K37" i="25"/>
  <c r="H37" i="25"/>
  <c r="E37" i="25"/>
  <c r="U36" i="25"/>
  <c r="Q36" i="25"/>
  <c r="N36" i="25"/>
  <c r="K36" i="25"/>
  <c r="H36" i="25"/>
  <c r="E36" i="25"/>
  <c r="U35" i="25"/>
  <c r="Q35" i="25"/>
  <c r="N35" i="25"/>
  <c r="K35" i="25"/>
  <c r="H35" i="25"/>
  <c r="E35" i="25"/>
  <c r="U34" i="25"/>
  <c r="Q34" i="25"/>
  <c r="N34" i="25"/>
  <c r="K34" i="25"/>
  <c r="H34" i="25"/>
  <c r="E34" i="25"/>
  <c r="U33" i="25"/>
  <c r="Q33" i="25"/>
  <c r="N33" i="25"/>
  <c r="K33" i="25"/>
  <c r="H33" i="25"/>
  <c r="E33" i="25"/>
  <c r="U32" i="25"/>
  <c r="Q32" i="25"/>
  <c r="N32" i="25"/>
  <c r="K32" i="25"/>
  <c r="H32" i="25"/>
  <c r="E32" i="25"/>
  <c r="U31" i="25"/>
  <c r="Q31" i="25"/>
  <c r="N31" i="25"/>
  <c r="K31" i="25"/>
  <c r="H31" i="25"/>
  <c r="E31" i="25"/>
  <c r="U30" i="25"/>
  <c r="Q30" i="25"/>
  <c r="N30" i="25"/>
  <c r="K30" i="25"/>
  <c r="H30" i="25"/>
  <c r="E30" i="25"/>
  <c r="U29" i="25"/>
  <c r="Q29" i="25"/>
  <c r="N29" i="25"/>
  <c r="K29" i="25"/>
  <c r="H29" i="25"/>
  <c r="E29" i="25"/>
  <c r="U28" i="25"/>
  <c r="Q28" i="25"/>
  <c r="N28" i="25"/>
  <c r="K28" i="25"/>
  <c r="H28" i="25"/>
  <c r="E28" i="25"/>
  <c r="U27" i="25"/>
  <c r="Q27" i="25"/>
  <c r="N27" i="25"/>
  <c r="K27" i="25"/>
  <c r="H27" i="25"/>
  <c r="E27" i="25"/>
  <c r="U26" i="25"/>
  <c r="Q26" i="25"/>
  <c r="N26" i="25"/>
  <c r="K26" i="25"/>
  <c r="H26" i="25"/>
  <c r="E26" i="25"/>
  <c r="U25" i="25"/>
  <c r="Q25" i="25"/>
  <c r="N25" i="25"/>
  <c r="K25" i="25"/>
  <c r="H25" i="25"/>
  <c r="E25" i="25"/>
  <c r="U24" i="25"/>
  <c r="Q24" i="25"/>
  <c r="N24" i="25"/>
  <c r="K24" i="25"/>
  <c r="H24" i="25"/>
  <c r="E24" i="25"/>
  <c r="U23" i="25"/>
  <c r="Q23" i="25"/>
  <c r="N23" i="25"/>
  <c r="K23" i="25"/>
  <c r="H23" i="25"/>
  <c r="E23" i="25"/>
  <c r="U22" i="25"/>
  <c r="Q22" i="25"/>
  <c r="N22" i="25"/>
  <c r="K22" i="25"/>
  <c r="H22" i="25"/>
  <c r="E22" i="25"/>
  <c r="U21" i="25"/>
  <c r="Q21" i="25"/>
  <c r="N21" i="25"/>
  <c r="K21" i="25"/>
  <c r="H21" i="25"/>
  <c r="E21" i="25"/>
  <c r="U20" i="25"/>
  <c r="Q20" i="25"/>
  <c r="N20" i="25"/>
  <c r="K20" i="25"/>
  <c r="H20" i="25"/>
  <c r="E20" i="25"/>
  <c r="U19" i="25"/>
  <c r="Q19" i="25"/>
  <c r="N19" i="25"/>
  <c r="K19" i="25"/>
  <c r="H19" i="25"/>
  <c r="E19" i="25"/>
  <c r="U18" i="25"/>
  <c r="Q18" i="25"/>
  <c r="N18" i="25"/>
  <c r="K18" i="25"/>
  <c r="H18" i="25"/>
  <c r="E18" i="25"/>
  <c r="U17" i="25"/>
  <c r="Q17" i="25"/>
  <c r="N17" i="25"/>
  <c r="K17" i="25"/>
  <c r="H17" i="25"/>
  <c r="E17" i="25"/>
  <c r="U16" i="25"/>
  <c r="Q16" i="25"/>
  <c r="N16" i="25"/>
  <c r="K16" i="25"/>
  <c r="H16" i="25"/>
  <c r="E16" i="25"/>
  <c r="U15" i="25"/>
  <c r="Q15" i="25"/>
  <c r="N15" i="25"/>
  <c r="K15" i="25"/>
  <c r="H15" i="25"/>
  <c r="E15" i="25"/>
  <c r="U14" i="25"/>
  <c r="Q14" i="25"/>
  <c r="N14" i="25"/>
  <c r="K14" i="25"/>
  <c r="H14" i="25"/>
  <c r="E14" i="25"/>
  <c r="U13" i="25"/>
  <c r="Q13" i="25"/>
  <c r="N13" i="25"/>
  <c r="K13" i="25"/>
  <c r="H13" i="25"/>
  <c r="E13" i="25"/>
  <c r="U12" i="25"/>
  <c r="Q12" i="25"/>
  <c r="N12" i="25"/>
  <c r="K12" i="25"/>
  <c r="H12" i="25"/>
  <c r="E12" i="25"/>
  <c r="U11" i="25"/>
  <c r="Q11" i="25"/>
  <c r="N11" i="25"/>
  <c r="K11" i="25"/>
  <c r="H11" i="25"/>
  <c r="E11" i="25"/>
  <c r="H114" i="24"/>
  <c r="D114" i="24"/>
  <c r="H113" i="24"/>
  <c r="D113" i="24"/>
  <c r="H112" i="24"/>
  <c r="D112" i="24"/>
  <c r="H111" i="24"/>
  <c r="D111" i="24"/>
  <c r="H110" i="24"/>
  <c r="D110" i="24"/>
  <c r="H109" i="24"/>
  <c r="D109" i="24"/>
  <c r="H108" i="24"/>
  <c r="D108" i="24"/>
  <c r="H107" i="24"/>
  <c r="D107" i="24"/>
  <c r="H106" i="24"/>
  <c r="D106" i="24"/>
  <c r="H105" i="24"/>
  <c r="D105" i="24"/>
  <c r="H104" i="24"/>
  <c r="D104" i="24"/>
  <c r="H103" i="24"/>
  <c r="D103" i="24"/>
  <c r="H102" i="24"/>
  <c r="D102" i="24"/>
  <c r="H101" i="24"/>
  <c r="D101" i="24"/>
  <c r="H100" i="24"/>
  <c r="D100" i="24"/>
  <c r="H99" i="24"/>
  <c r="D99" i="24"/>
  <c r="H98" i="24"/>
  <c r="D98" i="24"/>
  <c r="H97" i="24"/>
  <c r="D97" i="24"/>
  <c r="H96" i="24"/>
  <c r="D96" i="24"/>
  <c r="H95" i="24"/>
  <c r="D95" i="24"/>
  <c r="H94" i="24"/>
  <c r="D94" i="24"/>
  <c r="H93" i="24"/>
  <c r="D93" i="24"/>
  <c r="H92" i="24"/>
  <c r="D92" i="24"/>
  <c r="H91" i="24"/>
  <c r="D91" i="24"/>
  <c r="H90" i="24"/>
  <c r="D90" i="24"/>
  <c r="H89" i="24"/>
  <c r="D89" i="24"/>
  <c r="H88" i="24"/>
  <c r="D88" i="24"/>
  <c r="H87" i="24"/>
  <c r="D87" i="24"/>
  <c r="H86" i="24"/>
  <c r="D86" i="24"/>
  <c r="H85" i="24"/>
  <c r="D85" i="24"/>
  <c r="H84" i="24"/>
  <c r="D84" i="24"/>
  <c r="H83" i="24"/>
  <c r="D83" i="24"/>
  <c r="H82" i="24"/>
  <c r="D82" i="24"/>
  <c r="H81" i="24"/>
  <c r="D81" i="24"/>
  <c r="H80" i="24"/>
  <c r="D80" i="24"/>
  <c r="H79" i="24"/>
  <c r="D79" i="24"/>
  <c r="H78" i="24"/>
  <c r="D78" i="24"/>
  <c r="H77" i="24"/>
  <c r="D77" i="24"/>
  <c r="H76" i="24"/>
  <c r="D76" i="24"/>
  <c r="H75" i="24"/>
  <c r="D75" i="24"/>
  <c r="H74" i="24"/>
  <c r="D74" i="24"/>
  <c r="H73" i="24"/>
  <c r="D73" i="24"/>
  <c r="H72" i="24"/>
  <c r="D72" i="24"/>
  <c r="H71" i="24"/>
  <c r="D71" i="24"/>
  <c r="H70" i="24"/>
  <c r="D70" i="24"/>
  <c r="H69" i="24"/>
  <c r="D69" i="24"/>
  <c r="H68" i="24"/>
  <c r="D68" i="24"/>
  <c r="H67" i="24"/>
  <c r="D67" i="24"/>
  <c r="H66" i="24"/>
  <c r="D66" i="24"/>
  <c r="H65" i="24"/>
  <c r="D65" i="24"/>
  <c r="H64" i="24"/>
  <c r="D64" i="24"/>
  <c r="H63" i="24"/>
  <c r="D63" i="24"/>
  <c r="H62" i="24"/>
  <c r="D62" i="24"/>
  <c r="H61" i="24"/>
  <c r="D61" i="24"/>
  <c r="H60" i="24"/>
  <c r="D60" i="24"/>
  <c r="H59" i="24"/>
  <c r="D59" i="24"/>
  <c r="H58" i="24"/>
  <c r="D58" i="24"/>
  <c r="H57" i="24"/>
  <c r="D57" i="24"/>
  <c r="H56" i="24"/>
  <c r="D56" i="24"/>
  <c r="H55" i="24"/>
  <c r="D55" i="24"/>
  <c r="H54" i="24"/>
  <c r="D54" i="24"/>
  <c r="H53" i="24"/>
  <c r="D53" i="24"/>
  <c r="H52" i="24"/>
  <c r="D52" i="24"/>
  <c r="H51" i="24"/>
  <c r="D51" i="24"/>
  <c r="H50" i="24"/>
  <c r="D50" i="24"/>
  <c r="H49" i="24"/>
  <c r="D49" i="24"/>
  <c r="H48" i="24"/>
  <c r="D48" i="24"/>
  <c r="H47" i="24"/>
  <c r="D47" i="24"/>
  <c r="H46" i="24"/>
  <c r="D46" i="24"/>
  <c r="H45" i="24"/>
  <c r="D45" i="24"/>
  <c r="H44" i="24"/>
  <c r="D44" i="24"/>
  <c r="H43" i="24"/>
  <c r="D43" i="24"/>
  <c r="H42" i="24"/>
  <c r="D42" i="24"/>
  <c r="H41" i="24"/>
  <c r="D41" i="24"/>
  <c r="H40" i="24"/>
  <c r="D40" i="24"/>
  <c r="H39" i="24"/>
  <c r="D39" i="24"/>
  <c r="H38" i="24"/>
  <c r="D38" i="24"/>
  <c r="H37" i="24"/>
  <c r="D37" i="24"/>
  <c r="H36" i="24"/>
  <c r="D36" i="24"/>
  <c r="H35" i="24"/>
  <c r="D35" i="24"/>
  <c r="H34" i="24"/>
  <c r="D34" i="24"/>
  <c r="H33" i="24"/>
  <c r="D33" i="24"/>
  <c r="H32" i="24"/>
  <c r="D32" i="24"/>
  <c r="H31" i="24"/>
  <c r="D31" i="24"/>
  <c r="H30" i="24"/>
  <c r="D30" i="24"/>
  <c r="H29" i="24"/>
  <c r="D29" i="24"/>
  <c r="H28" i="24"/>
  <c r="D28" i="24"/>
  <c r="H27" i="24"/>
  <c r="D27" i="24"/>
  <c r="H26" i="24"/>
  <c r="D26" i="24"/>
  <c r="H25" i="24"/>
  <c r="D25" i="24"/>
  <c r="H24" i="24"/>
  <c r="D24" i="24"/>
  <c r="H23" i="24"/>
  <c r="D23" i="24"/>
  <c r="H22" i="24"/>
  <c r="D22" i="24"/>
  <c r="H21" i="24"/>
  <c r="D21" i="24"/>
  <c r="H20" i="24"/>
  <c r="D20" i="24"/>
  <c r="H19" i="24"/>
  <c r="D19" i="24"/>
  <c r="H18" i="24"/>
  <c r="D18" i="24"/>
  <c r="H17" i="24"/>
  <c r="D17" i="24"/>
  <c r="H16" i="24"/>
  <c r="D16" i="24"/>
  <c r="H15" i="24"/>
  <c r="N18" i="24" s="1"/>
  <c r="N19" i="24" s="1"/>
  <c r="N20" i="24" s="1"/>
  <c r="D15" i="24"/>
  <c r="H14" i="24"/>
  <c r="D14" i="24"/>
  <c r="H13" i="24"/>
  <c r="D13" i="24"/>
  <c r="H12" i="24"/>
  <c r="D12" i="24"/>
  <c r="H11" i="24"/>
  <c r="D11" i="24"/>
  <c r="K37" i="23"/>
  <c r="C37" i="23"/>
  <c r="C36" i="23"/>
  <c r="G22" i="23"/>
  <c r="F22" i="23"/>
  <c r="F21" i="23"/>
  <c r="I19" i="23"/>
  <c r="J19" i="23" s="1"/>
  <c r="H19" i="23"/>
  <c r="G19" i="23"/>
  <c r="I18" i="23"/>
  <c r="J18" i="23" s="1"/>
  <c r="H18" i="23"/>
  <c r="G18" i="23"/>
  <c r="I17" i="23"/>
  <c r="H17" i="23"/>
  <c r="G17" i="23"/>
  <c r="H16" i="23"/>
  <c r="G16" i="23"/>
  <c r="I15" i="23"/>
  <c r="H15" i="23"/>
  <c r="G15" i="23"/>
  <c r="G21" i="23" s="1"/>
  <c r="G14" i="23"/>
  <c r="E14" i="23"/>
  <c r="D14" i="23"/>
  <c r="H14" i="23" s="1"/>
  <c r="A1" i="23"/>
  <c r="B12" i="22"/>
  <c r="B5" i="22"/>
  <c r="F8" i="29" s="1"/>
  <c r="F12" i="29" s="1"/>
  <c r="F16" i="29" s="1"/>
  <c r="B32" i="20"/>
  <c r="C24" i="20"/>
  <c r="D10" i="20"/>
  <c r="D30" i="20" s="1"/>
  <c r="B10" i="20"/>
  <c r="B9" i="20"/>
  <c r="B8" i="20"/>
  <c r="B7" i="20"/>
  <c r="C6" i="20"/>
  <c r="C26" i="20" s="1"/>
  <c r="B6" i="20"/>
  <c r="B5" i="20"/>
  <c r="B4" i="20"/>
  <c r="C3" i="20"/>
  <c r="B3" i="20"/>
  <c r="C11" i="19"/>
  <c r="B11" i="19"/>
  <c r="E10" i="19"/>
  <c r="F10" i="19" s="1"/>
  <c r="D10" i="19"/>
  <c r="C10" i="20" s="1"/>
  <c r="C30" i="20" s="1"/>
  <c r="D9" i="19"/>
  <c r="D8" i="19"/>
  <c r="E7" i="19"/>
  <c r="F7" i="19" s="1"/>
  <c r="G7" i="19" s="1"/>
  <c r="F7" i="20" s="1"/>
  <c r="F27" i="20" s="1"/>
  <c r="D7" i="19"/>
  <c r="C7" i="20" s="1"/>
  <c r="C27" i="20" s="1"/>
  <c r="E6" i="19"/>
  <c r="D6" i="19"/>
  <c r="E5" i="19"/>
  <c r="D5" i="20" s="1"/>
  <c r="D25" i="20" s="1"/>
  <c r="D5" i="19"/>
  <c r="C5" i="20" s="1"/>
  <c r="C25" i="20" s="1"/>
  <c r="E4" i="19"/>
  <c r="D4" i="19"/>
  <c r="C4" i="20" s="1"/>
  <c r="E3" i="19"/>
  <c r="D3" i="20" s="1"/>
  <c r="D3" i="19"/>
  <c r="B83" i="18"/>
  <c r="B82" i="18"/>
  <c r="B81" i="18"/>
  <c r="M5" i="18" s="1"/>
  <c r="F71" i="18"/>
  <c r="E71" i="18"/>
  <c r="D71" i="18"/>
  <c r="C71" i="18"/>
  <c r="B71" i="18"/>
  <c r="E70" i="18"/>
  <c r="D70" i="18"/>
  <c r="C70" i="18"/>
  <c r="F68" i="18"/>
  <c r="E68" i="18"/>
  <c r="D68" i="18"/>
  <c r="C68" i="18"/>
  <c r="B68" i="18"/>
  <c r="F67" i="18"/>
  <c r="F70" i="18" s="1"/>
  <c r="E67" i="18"/>
  <c r="D67" i="18"/>
  <c r="C67" i="18"/>
  <c r="B67" i="18"/>
  <c r="B70" i="18" s="1"/>
  <c r="B53" i="18"/>
  <c r="B52" i="18"/>
  <c r="N4" i="18" s="1"/>
  <c r="B51" i="18"/>
  <c r="F41" i="18"/>
  <c r="E41" i="18"/>
  <c r="D41" i="18"/>
  <c r="C41" i="18"/>
  <c r="B41" i="18"/>
  <c r="F39" i="18"/>
  <c r="E39" i="18"/>
  <c r="D39" i="18"/>
  <c r="C39" i="18"/>
  <c r="B39" i="18"/>
  <c r="B22" i="18"/>
  <c r="B21" i="18"/>
  <c r="F11" i="18"/>
  <c r="E11" i="18"/>
  <c r="D11" i="18"/>
  <c r="C11" i="18"/>
  <c r="B11" i="18"/>
  <c r="E10" i="18"/>
  <c r="D10" i="18"/>
  <c r="B10" i="18"/>
  <c r="F8" i="18"/>
  <c r="E8" i="18"/>
  <c r="D8" i="18"/>
  <c r="C8" i="18"/>
  <c r="B8" i="18"/>
  <c r="F7" i="18"/>
  <c r="F10" i="18" s="1"/>
  <c r="E7" i="18"/>
  <c r="D7" i="18"/>
  <c r="C7" i="18"/>
  <c r="C10" i="18" s="1"/>
  <c r="B7" i="18"/>
  <c r="N5" i="18"/>
  <c r="M4" i="18"/>
  <c r="N3" i="18"/>
  <c r="C16" i="17"/>
  <c r="D15" i="17"/>
  <c r="C15" i="17"/>
  <c r="B15" i="17"/>
  <c r="C14" i="17"/>
  <c r="C13" i="17"/>
  <c r="R17" i="16"/>
  <c r="C17" i="16"/>
  <c r="H17" i="16" s="1"/>
  <c r="M17" i="16" s="1"/>
  <c r="H14" i="16"/>
  <c r="M14" i="16" s="1"/>
  <c r="C14" i="16"/>
  <c r="C15" i="16" s="1"/>
  <c r="C16" i="16" s="1"/>
  <c r="H16" i="16" s="1"/>
  <c r="M16" i="16" s="1"/>
  <c r="H13" i="16"/>
  <c r="M13" i="16" s="1"/>
  <c r="C13" i="16"/>
  <c r="V12" i="16"/>
  <c r="K18" i="29" s="1"/>
  <c r="U12" i="16"/>
  <c r="J18" i="29" s="1"/>
  <c r="T12" i="16"/>
  <c r="I18" i="29" s="1"/>
  <c r="S12" i="16"/>
  <c r="H18" i="29" s="1"/>
  <c r="R12" i="16"/>
  <c r="G18" i="29" s="1"/>
  <c r="C12" i="16"/>
  <c r="H12" i="16" s="1"/>
  <c r="M12" i="16" s="1"/>
  <c r="H11" i="16"/>
  <c r="M11" i="16" s="1"/>
  <c r="C11" i="16"/>
  <c r="C10" i="16"/>
  <c r="H10" i="16" s="1"/>
  <c r="M10" i="16" s="1"/>
  <c r="H9" i="16"/>
  <c r="M9" i="16" s="1"/>
  <c r="C9" i="16"/>
  <c r="V8" i="16"/>
  <c r="U8" i="16"/>
  <c r="T8" i="16"/>
  <c r="S8" i="16"/>
  <c r="R8" i="16"/>
  <c r="L8" i="16"/>
  <c r="L9" i="16" s="1"/>
  <c r="L10" i="16" s="1"/>
  <c r="L11" i="16" s="1"/>
  <c r="L12" i="16" s="1"/>
  <c r="L13" i="16" s="1"/>
  <c r="L14" i="16" s="1"/>
  <c r="C8" i="16"/>
  <c r="H8" i="16" s="1"/>
  <c r="M8" i="16" s="1"/>
  <c r="G7" i="16"/>
  <c r="G8" i="16" s="1"/>
  <c r="G9" i="16" s="1"/>
  <c r="G10" i="16" s="1"/>
  <c r="G11" i="16" s="1"/>
  <c r="G12" i="16" s="1"/>
  <c r="G13" i="16" s="1"/>
  <c r="G14" i="16" s="1"/>
  <c r="C7" i="16"/>
  <c r="H7" i="16" s="1"/>
  <c r="M7" i="16" s="1"/>
  <c r="L6" i="16"/>
  <c r="L7" i="16" s="1"/>
  <c r="C6" i="16"/>
  <c r="H6" i="16" s="1"/>
  <c r="M6" i="16" s="1"/>
  <c r="M5" i="16"/>
  <c r="L5" i="16"/>
  <c r="H5" i="16"/>
  <c r="G5" i="16"/>
  <c r="G6" i="16" s="1"/>
  <c r="C5" i="16"/>
  <c r="B5" i="16"/>
  <c r="B6" i="16" s="1"/>
  <c r="B7" i="16" s="1"/>
  <c r="B8" i="16" s="1"/>
  <c r="B9" i="16" s="1"/>
  <c r="B10" i="16" s="1"/>
  <c r="B11" i="16" s="1"/>
  <c r="B12" i="16" s="1"/>
  <c r="B13" i="16" s="1"/>
  <c r="B14" i="16" s="1"/>
  <c r="H4" i="16"/>
  <c r="M4" i="16" s="1"/>
  <c r="D13" i="16"/>
  <c r="D12" i="16"/>
  <c r="E12" i="16" s="1"/>
  <c r="D11" i="16"/>
  <c r="E11" i="16" s="1"/>
  <c r="D10" i="16"/>
  <c r="D4" i="16" a="1"/>
  <c r="C4" i="16"/>
  <c r="L2" i="16"/>
  <c r="G2" i="16"/>
  <c r="B2" i="16"/>
  <c r="B48" i="15"/>
  <c r="B46" i="15"/>
  <c r="D29" i="15"/>
  <c r="B29" i="15"/>
  <c r="B92" i="14"/>
  <c r="I91" i="14"/>
  <c r="H91" i="14"/>
  <c r="H93" i="14" s="1"/>
  <c r="G91" i="14"/>
  <c r="F91" i="14"/>
  <c r="E91" i="14"/>
  <c r="D91" i="14"/>
  <c r="C91" i="14"/>
  <c r="H90" i="14"/>
  <c r="H96" i="14" s="1"/>
  <c r="H87" i="14"/>
  <c r="F87" i="14"/>
  <c r="D87" i="14"/>
  <c r="C87" i="14"/>
  <c r="I86" i="14"/>
  <c r="H86" i="14"/>
  <c r="G86" i="14"/>
  <c r="G87" i="14" s="1"/>
  <c r="F86" i="14"/>
  <c r="E86" i="14"/>
  <c r="D86" i="14"/>
  <c r="C86" i="14"/>
  <c r="I85" i="14"/>
  <c r="I87" i="14" s="1"/>
  <c r="H85" i="14"/>
  <c r="G85" i="14"/>
  <c r="F85" i="14"/>
  <c r="E85" i="14"/>
  <c r="E87" i="14" s="1"/>
  <c r="D85" i="14"/>
  <c r="C85" i="14"/>
  <c r="F81" i="14"/>
  <c r="F92" i="14" s="1"/>
  <c r="F93" i="14" s="1"/>
  <c r="I76" i="14"/>
  <c r="I81" i="14" s="1"/>
  <c r="I92" i="14" s="1"/>
  <c r="I75" i="14"/>
  <c r="H75" i="14"/>
  <c r="H77" i="14" s="1"/>
  <c r="G75" i="14"/>
  <c r="G77" i="14" s="1"/>
  <c r="F75" i="14"/>
  <c r="E75" i="14"/>
  <c r="D75" i="14"/>
  <c r="C75" i="14"/>
  <c r="I71" i="14"/>
  <c r="H71" i="14"/>
  <c r="D71" i="14"/>
  <c r="I70" i="14"/>
  <c r="H70" i="14"/>
  <c r="H76" i="14" s="1"/>
  <c r="H81" i="14" s="1"/>
  <c r="H92" i="14" s="1"/>
  <c r="G70" i="14"/>
  <c r="G76" i="14" s="1"/>
  <c r="G81" i="14" s="1"/>
  <c r="G92" i="14" s="1"/>
  <c r="G93" i="14" s="1"/>
  <c r="F70" i="14"/>
  <c r="F76" i="14" s="1"/>
  <c r="F77" i="14" s="1"/>
  <c r="E70" i="14"/>
  <c r="E76" i="14" s="1"/>
  <c r="D70" i="14"/>
  <c r="D76" i="14" s="1"/>
  <c r="C70" i="14"/>
  <c r="C76" i="14" s="1"/>
  <c r="I69" i="14"/>
  <c r="H69" i="14"/>
  <c r="G69" i="14"/>
  <c r="F69" i="14"/>
  <c r="E69" i="14"/>
  <c r="E71" i="14" s="1"/>
  <c r="D69" i="14"/>
  <c r="C69" i="14"/>
  <c r="C71" i="14" s="1"/>
  <c r="B7" i="14"/>
  <c r="B3" i="14"/>
  <c r="I102" i="13"/>
  <c r="E102" i="13"/>
  <c r="H98" i="13"/>
  <c r="H101" i="13" s="1"/>
  <c r="C98" i="13"/>
  <c r="C101" i="13" s="1"/>
  <c r="C103" i="13" s="1"/>
  <c r="F97" i="13"/>
  <c r="B97" i="13"/>
  <c r="G92" i="13"/>
  <c r="G102" i="13" s="1"/>
  <c r="E92" i="13"/>
  <c r="C92" i="13"/>
  <c r="C102" i="13" s="1"/>
  <c r="B92" i="13"/>
  <c r="H91" i="13"/>
  <c r="F91" i="13"/>
  <c r="D91" i="13"/>
  <c r="D97" i="13" s="1"/>
  <c r="G85" i="13"/>
  <c r="I84" i="13"/>
  <c r="G84" i="13"/>
  <c r="D84" i="13"/>
  <c r="B84" i="13"/>
  <c r="I83" i="13"/>
  <c r="I85" i="13" s="1"/>
  <c r="G83" i="13"/>
  <c r="C83" i="13"/>
  <c r="I80" i="13"/>
  <c r="I92" i="13" s="1"/>
  <c r="H80" i="13"/>
  <c r="G80" i="13"/>
  <c r="F80" i="13"/>
  <c r="E80" i="13"/>
  <c r="E83" i="13" s="1"/>
  <c r="E85" i="13" s="1"/>
  <c r="D80" i="13"/>
  <c r="C80" i="13"/>
  <c r="H79" i="13"/>
  <c r="G79" i="13"/>
  <c r="G98" i="13" s="1"/>
  <c r="G101" i="13" s="1"/>
  <c r="G103" i="13" s="1"/>
  <c r="E79" i="13"/>
  <c r="D79" i="13"/>
  <c r="C79" i="13"/>
  <c r="C81" i="13" s="1"/>
  <c r="I76" i="13"/>
  <c r="I79" i="13" s="1"/>
  <c r="H76" i="13"/>
  <c r="G76" i="13"/>
  <c r="F76" i="13"/>
  <c r="F79" i="13" s="1"/>
  <c r="F98" i="13" s="1"/>
  <c r="F101" i="13" s="1"/>
  <c r="E76" i="13"/>
  <c r="D76" i="13"/>
  <c r="C76" i="13"/>
  <c r="H75" i="13"/>
  <c r="H77" i="13" s="1"/>
  <c r="F75" i="13"/>
  <c r="F77" i="13" s="1"/>
  <c r="D75" i="13"/>
  <c r="D77" i="13" s="1"/>
  <c r="B75" i="13"/>
  <c r="H71" i="13"/>
  <c r="E71" i="13"/>
  <c r="D71" i="13"/>
  <c r="I70" i="13"/>
  <c r="H70" i="13"/>
  <c r="H84" i="13" s="1"/>
  <c r="G70" i="13"/>
  <c r="F70" i="13"/>
  <c r="F84" i="13" s="1"/>
  <c r="E70" i="13"/>
  <c r="E84" i="13" s="1"/>
  <c r="D70" i="13"/>
  <c r="C70" i="13"/>
  <c r="C84" i="13" s="1"/>
  <c r="I69" i="13"/>
  <c r="H69" i="13"/>
  <c r="G69" i="13"/>
  <c r="G75" i="13" s="1"/>
  <c r="G77" i="13" s="1"/>
  <c r="F69" i="13"/>
  <c r="E69" i="13"/>
  <c r="D69" i="13"/>
  <c r="C69" i="13"/>
  <c r="C71" i="13" s="1"/>
  <c r="I68" i="13"/>
  <c r="B7" i="13"/>
  <c r="B3" i="13"/>
  <c r="L41" i="12"/>
  <c r="I41" i="12"/>
  <c r="G41" i="12"/>
  <c r="D41" i="12"/>
  <c r="J29" i="12"/>
  <c r="J36" i="12" s="1"/>
  <c r="I29" i="12"/>
  <c r="I36" i="12" s="1"/>
  <c r="C28" i="12"/>
  <c r="C5" i="12"/>
  <c r="L3" i="12"/>
  <c r="K3" i="12"/>
  <c r="J3" i="12"/>
  <c r="I3" i="12"/>
  <c r="H3" i="12"/>
  <c r="G3" i="12"/>
  <c r="F3" i="12"/>
  <c r="E3" i="12"/>
  <c r="D3" i="12"/>
  <c r="C3" i="12"/>
  <c r="B2" i="12"/>
  <c r="L45" i="11"/>
  <c r="K45" i="11"/>
  <c r="J45" i="11"/>
  <c r="I45" i="11"/>
  <c r="H45" i="11"/>
  <c r="G45" i="11"/>
  <c r="F45" i="11"/>
  <c r="E45" i="11"/>
  <c r="D45" i="11"/>
  <c r="C45" i="11"/>
  <c r="B45" i="11"/>
  <c r="L44" i="11"/>
  <c r="K44" i="11"/>
  <c r="J44" i="11"/>
  <c r="I44" i="11"/>
  <c r="H44" i="11"/>
  <c r="G44" i="11"/>
  <c r="F44" i="11"/>
  <c r="E44" i="11"/>
  <c r="D44" i="11"/>
  <c r="C44" i="11"/>
  <c r="B44" i="11"/>
  <c r="L43" i="11"/>
  <c r="K43" i="11"/>
  <c r="J43" i="11"/>
  <c r="I43" i="11"/>
  <c r="H43" i="11"/>
  <c r="G43" i="11"/>
  <c r="F43" i="11"/>
  <c r="E43" i="11"/>
  <c r="D43" i="11"/>
  <c r="C43" i="11"/>
  <c r="B43" i="11"/>
  <c r="L42" i="11"/>
  <c r="K42" i="11"/>
  <c r="J42" i="11"/>
  <c r="I42" i="11"/>
  <c r="H42" i="11"/>
  <c r="G42" i="11"/>
  <c r="F42" i="11"/>
  <c r="E42" i="11"/>
  <c r="D42" i="11"/>
  <c r="C42" i="11"/>
  <c r="B42" i="11"/>
  <c r="L41" i="11"/>
  <c r="K41" i="11"/>
  <c r="J41" i="11"/>
  <c r="I41" i="11"/>
  <c r="H41" i="11"/>
  <c r="G41" i="11"/>
  <c r="F41" i="11"/>
  <c r="E41" i="11"/>
  <c r="D41" i="11"/>
  <c r="C41" i="11"/>
  <c r="B41" i="11"/>
  <c r="L40" i="11"/>
  <c r="K40" i="11"/>
  <c r="J40" i="11"/>
  <c r="I40" i="11"/>
  <c r="H40" i="11"/>
  <c r="G40" i="11"/>
  <c r="F40" i="11"/>
  <c r="E40" i="11"/>
  <c r="D40" i="11"/>
  <c r="C40" i="11"/>
  <c r="B40" i="11"/>
  <c r="L39" i="11"/>
  <c r="K39" i="11"/>
  <c r="J39" i="11"/>
  <c r="I39" i="11"/>
  <c r="H39" i="11"/>
  <c r="G39" i="11"/>
  <c r="F39" i="11"/>
  <c r="E39" i="11"/>
  <c r="D39" i="11"/>
  <c r="C39" i="11"/>
  <c r="B39" i="11"/>
  <c r="L38" i="11"/>
  <c r="K38" i="11"/>
  <c r="J38" i="11"/>
  <c r="I38" i="11"/>
  <c r="H38" i="11"/>
  <c r="G38" i="11"/>
  <c r="F38" i="11"/>
  <c r="E38" i="11"/>
  <c r="D38" i="11"/>
  <c r="C38" i="11"/>
  <c r="L36" i="11"/>
  <c r="K36" i="11"/>
  <c r="J36" i="11"/>
  <c r="I36" i="11"/>
  <c r="H36" i="11"/>
  <c r="G36" i="11"/>
  <c r="F36" i="11"/>
  <c r="E36" i="11"/>
  <c r="D36" i="11"/>
  <c r="C36" i="11"/>
  <c r="B36" i="11"/>
  <c r="L35" i="11"/>
  <c r="K35" i="11"/>
  <c r="J35" i="11"/>
  <c r="I35" i="11"/>
  <c r="H35" i="11"/>
  <c r="G35" i="11"/>
  <c r="F35" i="11"/>
  <c r="E35" i="11"/>
  <c r="D35" i="11"/>
  <c r="C35" i="11"/>
  <c r="B35" i="11"/>
  <c r="L34" i="11"/>
  <c r="K34" i="11"/>
  <c r="J34" i="11"/>
  <c r="I34" i="11"/>
  <c r="H34" i="11"/>
  <c r="G34" i="11"/>
  <c r="F34" i="11"/>
  <c r="E34" i="11"/>
  <c r="D34" i="11"/>
  <c r="C34" i="11"/>
  <c r="B34" i="11"/>
  <c r="L33" i="11"/>
  <c r="K33" i="11"/>
  <c r="J33" i="11"/>
  <c r="I33" i="11"/>
  <c r="H33" i="11"/>
  <c r="G33" i="11"/>
  <c r="F33" i="11"/>
  <c r="E33" i="11"/>
  <c r="D33" i="11"/>
  <c r="C33" i="11"/>
  <c r="B33" i="11"/>
  <c r="L32" i="11"/>
  <c r="K32" i="11"/>
  <c r="J32" i="11"/>
  <c r="I32" i="11"/>
  <c r="H32" i="11"/>
  <c r="G32" i="11"/>
  <c r="F32" i="11"/>
  <c r="E32" i="11"/>
  <c r="D32" i="11"/>
  <c r="C32" i="11"/>
  <c r="L30" i="11"/>
  <c r="K30" i="11"/>
  <c r="J30" i="11"/>
  <c r="I30" i="11"/>
  <c r="H30" i="11"/>
  <c r="G30" i="11"/>
  <c r="F30" i="11"/>
  <c r="E30" i="11"/>
  <c r="D30" i="11"/>
  <c r="C30" i="11"/>
  <c r="B28" i="11"/>
  <c r="L26" i="11"/>
  <c r="K26" i="11"/>
  <c r="J26" i="11"/>
  <c r="I26" i="11"/>
  <c r="H26" i="11"/>
  <c r="G26" i="11"/>
  <c r="F26" i="11"/>
  <c r="E26" i="11"/>
  <c r="D26" i="11"/>
  <c r="C26" i="11"/>
  <c r="B26" i="11"/>
  <c r="L25" i="11"/>
  <c r="K25" i="11"/>
  <c r="J25" i="11"/>
  <c r="I25" i="11"/>
  <c r="H25" i="11"/>
  <c r="G25" i="11"/>
  <c r="F25" i="11"/>
  <c r="E25" i="11"/>
  <c r="D25" i="11"/>
  <c r="C25" i="11"/>
  <c r="B25" i="11"/>
  <c r="L24" i="11"/>
  <c r="K24" i="11"/>
  <c r="J24" i="11"/>
  <c r="I24" i="11"/>
  <c r="H24" i="11"/>
  <c r="G24" i="11"/>
  <c r="F24" i="11"/>
  <c r="E24" i="11"/>
  <c r="D24" i="11"/>
  <c r="C24" i="11"/>
  <c r="B24" i="11"/>
  <c r="L23" i="11"/>
  <c r="K23" i="11"/>
  <c r="J23" i="11"/>
  <c r="I23" i="11"/>
  <c r="H23" i="11"/>
  <c r="G23" i="11"/>
  <c r="F23" i="11"/>
  <c r="E23" i="11"/>
  <c r="D23" i="11"/>
  <c r="C23" i="11"/>
  <c r="B23" i="11"/>
  <c r="L22" i="11"/>
  <c r="K22" i="11"/>
  <c r="J22" i="11"/>
  <c r="I22" i="11"/>
  <c r="H22" i="11"/>
  <c r="G22" i="11"/>
  <c r="F22" i="11"/>
  <c r="E22" i="11"/>
  <c r="D22" i="11"/>
  <c r="C22" i="11"/>
  <c r="B22" i="11"/>
  <c r="L21" i="11"/>
  <c r="K21" i="11"/>
  <c r="J21" i="11"/>
  <c r="I21" i="11"/>
  <c r="H21" i="11"/>
  <c r="G21" i="11"/>
  <c r="F21" i="11"/>
  <c r="E21" i="11"/>
  <c r="D21" i="11"/>
  <c r="C21" i="11"/>
  <c r="B21" i="11"/>
  <c r="L20" i="11"/>
  <c r="K20" i="11"/>
  <c r="J20" i="11"/>
  <c r="I20" i="11"/>
  <c r="H20" i="11"/>
  <c r="G20" i="11"/>
  <c r="F20" i="11"/>
  <c r="E20" i="11"/>
  <c r="D20" i="11"/>
  <c r="C20" i="11"/>
  <c r="B20" i="11"/>
  <c r="L19" i="11"/>
  <c r="K19" i="11"/>
  <c r="J19" i="11"/>
  <c r="I19" i="11"/>
  <c r="H19" i="11"/>
  <c r="G19" i="11"/>
  <c r="F19" i="11"/>
  <c r="E19" i="11"/>
  <c r="D19" i="11"/>
  <c r="C19" i="11"/>
  <c r="B19" i="11"/>
  <c r="L18" i="11"/>
  <c r="K18" i="11"/>
  <c r="J18" i="11"/>
  <c r="I18" i="11"/>
  <c r="H18" i="11"/>
  <c r="G18" i="11"/>
  <c r="F18" i="11"/>
  <c r="E18" i="11"/>
  <c r="D18" i="11"/>
  <c r="C18" i="11"/>
  <c r="B18" i="11"/>
  <c r="L17" i="11"/>
  <c r="K17" i="11"/>
  <c r="J17" i="11"/>
  <c r="I17" i="11"/>
  <c r="H17" i="11"/>
  <c r="G17" i="11"/>
  <c r="F17" i="11"/>
  <c r="E17" i="11"/>
  <c r="D17" i="11"/>
  <c r="C17" i="11"/>
  <c r="B17" i="11"/>
  <c r="L16" i="11"/>
  <c r="K16" i="11"/>
  <c r="J16" i="11"/>
  <c r="I16" i="11"/>
  <c r="H16" i="11"/>
  <c r="G16" i="11"/>
  <c r="F16" i="11"/>
  <c r="E16" i="11"/>
  <c r="D16" i="11"/>
  <c r="C16" i="11"/>
  <c r="B16" i="11"/>
  <c r="L15" i="11"/>
  <c r="K15" i="11"/>
  <c r="J15" i="11"/>
  <c r="I15" i="11"/>
  <c r="H15" i="11"/>
  <c r="G15" i="11"/>
  <c r="F15" i="11"/>
  <c r="E15" i="11"/>
  <c r="D15" i="11"/>
  <c r="C15" i="11"/>
  <c r="B15" i="11"/>
  <c r="L14" i="11"/>
  <c r="K14" i="11"/>
  <c r="J14" i="11"/>
  <c r="I14" i="11"/>
  <c r="H14" i="11"/>
  <c r="G14" i="11"/>
  <c r="F14" i="11"/>
  <c r="E14" i="11"/>
  <c r="D14" i="11"/>
  <c r="C14" i="11"/>
  <c r="B14" i="11"/>
  <c r="L13" i="11"/>
  <c r="K13" i="11"/>
  <c r="J13" i="11"/>
  <c r="I13" i="11"/>
  <c r="H13" i="11"/>
  <c r="G13" i="11"/>
  <c r="F13" i="11"/>
  <c r="E13" i="11"/>
  <c r="D13" i="11"/>
  <c r="C13" i="11"/>
  <c r="B13" i="11"/>
  <c r="L12" i="11"/>
  <c r="K12" i="11"/>
  <c r="J12" i="11"/>
  <c r="I12" i="11"/>
  <c r="H12" i="11"/>
  <c r="G12" i="11"/>
  <c r="F12" i="11"/>
  <c r="E12" i="11"/>
  <c r="D12" i="11"/>
  <c r="C12" i="11"/>
  <c r="B12" i="11"/>
  <c r="L11" i="11"/>
  <c r="K11" i="11"/>
  <c r="J11" i="11"/>
  <c r="I11" i="11"/>
  <c r="H11" i="11"/>
  <c r="G11" i="11"/>
  <c r="F11" i="11"/>
  <c r="E11" i="11"/>
  <c r="D11" i="11"/>
  <c r="C11" i="11"/>
  <c r="B11" i="11"/>
  <c r="L9" i="11"/>
  <c r="K9" i="11"/>
  <c r="J9" i="11"/>
  <c r="I9" i="11"/>
  <c r="H9" i="11"/>
  <c r="G9" i="11"/>
  <c r="F9" i="11"/>
  <c r="E9" i="11"/>
  <c r="D9" i="11"/>
  <c r="C9" i="11"/>
  <c r="B7" i="11"/>
  <c r="K14" i="10"/>
  <c r="C14" i="10"/>
  <c r="K12" i="10"/>
  <c r="J12" i="10"/>
  <c r="I12" i="10"/>
  <c r="H12" i="10"/>
  <c r="G12" i="10"/>
  <c r="F12" i="10"/>
  <c r="E12" i="10"/>
  <c r="D12" i="10"/>
  <c r="C12" i="10"/>
  <c r="B12" i="10"/>
  <c r="K11" i="10"/>
  <c r="J11" i="10"/>
  <c r="I11" i="10"/>
  <c r="H11" i="10"/>
  <c r="L11" i="8" s="1"/>
  <c r="G11" i="10"/>
  <c r="F11" i="10"/>
  <c r="E11" i="10"/>
  <c r="D11" i="10"/>
  <c r="C11" i="10"/>
  <c r="B11" i="10"/>
  <c r="K10" i="10"/>
  <c r="J10" i="10"/>
  <c r="I10" i="10"/>
  <c r="H10" i="10"/>
  <c r="L10" i="8" s="1"/>
  <c r="G10" i="10"/>
  <c r="F10" i="10"/>
  <c r="E10" i="10"/>
  <c r="D10" i="10"/>
  <c r="C10" i="10"/>
  <c r="B10" i="10"/>
  <c r="K9" i="10"/>
  <c r="J9" i="10"/>
  <c r="I9" i="10"/>
  <c r="H9" i="10"/>
  <c r="G9" i="10"/>
  <c r="F9" i="10"/>
  <c r="E9" i="10"/>
  <c r="D9" i="10"/>
  <c r="C9" i="10"/>
  <c r="B9" i="10"/>
  <c r="K8" i="10"/>
  <c r="J8" i="10"/>
  <c r="I8" i="10"/>
  <c r="H8" i="10"/>
  <c r="L8" i="8" s="1"/>
  <c r="G8" i="10"/>
  <c r="F8" i="10"/>
  <c r="E8" i="10"/>
  <c r="D8" i="10"/>
  <c r="C8" i="10"/>
  <c r="B8" i="10"/>
  <c r="K7" i="10"/>
  <c r="J7" i="10"/>
  <c r="I7" i="10"/>
  <c r="H7" i="10"/>
  <c r="L7" i="8" s="1"/>
  <c r="G7" i="10"/>
  <c r="F7" i="10"/>
  <c r="E7" i="10"/>
  <c r="D7" i="10"/>
  <c r="C7" i="10"/>
  <c r="B7" i="10"/>
  <c r="K6" i="10"/>
  <c r="J6" i="10"/>
  <c r="J14" i="10" s="1"/>
  <c r="I6" i="10"/>
  <c r="H6" i="10"/>
  <c r="G6" i="10"/>
  <c r="F6" i="10"/>
  <c r="E6" i="10"/>
  <c r="D6" i="10"/>
  <c r="C6" i="10"/>
  <c r="B6" i="10"/>
  <c r="B14" i="10" s="1"/>
  <c r="K5" i="10"/>
  <c r="J5" i="10"/>
  <c r="L5" i="8" s="1"/>
  <c r="I5" i="10"/>
  <c r="H5" i="10"/>
  <c r="G5" i="10"/>
  <c r="F5" i="10"/>
  <c r="E5" i="10"/>
  <c r="D5" i="10"/>
  <c r="C5" i="10"/>
  <c r="B5" i="10"/>
  <c r="K4" i="10"/>
  <c r="J4" i="10"/>
  <c r="I4" i="10"/>
  <c r="H4" i="10"/>
  <c r="G4" i="10"/>
  <c r="G14" i="10" s="1"/>
  <c r="F4" i="10"/>
  <c r="F14" i="10" s="1"/>
  <c r="E4" i="10"/>
  <c r="E14" i="10" s="1"/>
  <c r="D4" i="10"/>
  <c r="D14" i="10" s="1"/>
  <c r="C4" i="10"/>
  <c r="B4" i="10"/>
  <c r="K3" i="10"/>
  <c r="J3" i="10"/>
  <c r="I3" i="10"/>
  <c r="H3" i="10"/>
  <c r="G3" i="10"/>
  <c r="F3" i="10"/>
  <c r="E3" i="10"/>
  <c r="D3" i="10"/>
  <c r="C3" i="10"/>
  <c r="B3" i="10"/>
  <c r="K23" i="9"/>
  <c r="J21" i="9"/>
  <c r="I21" i="9"/>
  <c r="G21" i="9"/>
  <c r="D21" i="9"/>
  <c r="B21" i="9"/>
  <c r="D20" i="9"/>
  <c r="K18" i="9"/>
  <c r="K21" i="9" s="1"/>
  <c r="J18" i="9"/>
  <c r="I18" i="9"/>
  <c r="H18" i="9"/>
  <c r="H21" i="9" s="1"/>
  <c r="G18" i="9"/>
  <c r="F18" i="9"/>
  <c r="F21" i="9" s="1"/>
  <c r="E18" i="9"/>
  <c r="E21" i="9" s="1"/>
  <c r="D18" i="9"/>
  <c r="C18" i="9"/>
  <c r="C21" i="9" s="1"/>
  <c r="B18" i="9"/>
  <c r="K17" i="9"/>
  <c r="J17" i="9"/>
  <c r="I17" i="9"/>
  <c r="H17" i="9"/>
  <c r="G17" i="9"/>
  <c r="F17" i="9"/>
  <c r="F20" i="9" s="1"/>
  <c r="E17" i="9"/>
  <c r="D17" i="9"/>
  <c r="C17" i="9"/>
  <c r="B17" i="9"/>
  <c r="H16" i="9"/>
  <c r="K14" i="9"/>
  <c r="J14" i="9"/>
  <c r="I14" i="9"/>
  <c r="H14" i="9"/>
  <c r="G14" i="9"/>
  <c r="F14" i="9"/>
  <c r="E14" i="9"/>
  <c r="D14" i="9"/>
  <c r="C14" i="9"/>
  <c r="B14" i="9"/>
  <c r="K13" i="9"/>
  <c r="K16" i="9" s="1"/>
  <c r="J13" i="9"/>
  <c r="J16" i="9" s="1"/>
  <c r="I13" i="9"/>
  <c r="I16" i="9" s="1"/>
  <c r="H13" i="9"/>
  <c r="G13" i="9"/>
  <c r="F13" i="9"/>
  <c r="E13" i="9"/>
  <c r="E16" i="9" s="1"/>
  <c r="D13" i="9"/>
  <c r="D16" i="9" s="1"/>
  <c r="C13" i="9"/>
  <c r="C16" i="9" s="1"/>
  <c r="B13" i="9"/>
  <c r="B16" i="9" s="1"/>
  <c r="K12" i="9"/>
  <c r="J12" i="9"/>
  <c r="I12" i="9"/>
  <c r="H12" i="9"/>
  <c r="G12" i="9"/>
  <c r="F12" i="9"/>
  <c r="E12" i="9"/>
  <c r="D12" i="9"/>
  <c r="C12" i="9"/>
  <c r="B12" i="9"/>
  <c r="K11" i="9"/>
  <c r="J11" i="9"/>
  <c r="I11" i="9"/>
  <c r="H11" i="9"/>
  <c r="G11" i="9"/>
  <c r="F11" i="9"/>
  <c r="E11" i="9"/>
  <c r="D11" i="9"/>
  <c r="C11" i="9"/>
  <c r="B11" i="9"/>
  <c r="K10" i="9"/>
  <c r="J10" i="9"/>
  <c r="I10" i="9"/>
  <c r="H10" i="9"/>
  <c r="G10" i="9"/>
  <c r="F10" i="9"/>
  <c r="E10" i="9"/>
  <c r="D10" i="9"/>
  <c r="C10" i="9"/>
  <c r="B10" i="9"/>
  <c r="K8" i="9"/>
  <c r="J8" i="9"/>
  <c r="I8" i="9"/>
  <c r="H8" i="9"/>
  <c r="G8" i="9"/>
  <c r="F8" i="9"/>
  <c r="E8" i="9"/>
  <c r="D8" i="9"/>
  <c r="C8" i="9"/>
  <c r="B8" i="9"/>
  <c r="K7" i="9"/>
  <c r="J7" i="9"/>
  <c r="I7" i="9"/>
  <c r="H7" i="9"/>
  <c r="G7" i="9"/>
  <c r="G16" i="9" s="1"/>
  <c r="F7" i="9"/>
  <c r="F16" i="9" s="1"/>
  <c r="E7" i="9"/>
  <c r="D7" i="9"/>
  <c r="C7" i="9"/>
  <c r="B7" i="9"/>
  <c r="K6" i="9"/>
  <c r="J6" i="9"/>
  <c r="I6" i="9"/>
  <c r="J24" i="9" s="1"/>
  <c r="H6" i="9"/>
  <c r="I24" i="9" s="1"/>
  <c r="G6" i="9"/>
  <c r="F6" i="9"/>
  <c r="E6" i="9"/>
  <c r="D6" i="9"/>
  <c r="C6" i="9"/>
  <c r="B6" i="9"/>
  <c r="K5" i="9"/>
  <c r="J5" i="9"/>
  <c r="K24" i="9" s="1"/>
  <c r="I5" i="9"/>
  <c r="H5" i="9"/>
  <c r="H23" i="9" s="1"/>
  <c r="G5" i="9"/>
  <c r="G23" i="9" s="1"/>
  <c r="F5" i="9"/>
  <c r="E5" i="9"/>
  <c r="D5" i="9"/>
  <c r="C5" i="9"/>
  <c r="B5" i="9"/>
  <c r="B23" i="9" s="1"/>
  <c r="K4" i="9"/>
  <c r="J4" i="9"/>
  <c r="I4" i="9"/>
  <c r="H4" i="9"/>
  <c r="G4" i="9"/>
  <c r="F4" i="9"/>
  <c r="G24" i="9" s="1"/>
  <c r="E4" i="9"/>
  <c r="D4" i="9"/>
  <c r="C4" i="9"/>
  <c r="B4" i="9"/>
  <c r="K3" i="9"/>
  <c r="J3" i="9"/>
  <c r="I3" i="9"/>
  <c r="H3" i="9"/>
  <c r="G3" i="9"/>
  <c r="F3" i="9"/>
  <c r="E3" i="9"/>
  <c r="D3" i="9"/>
  <c r="C3" i="9"/>
  <c r="B3" i="9"/>
  <c r="K18" i="8"/>
  <c r="J18" i="8"/>
  <c r="I18" i="8"/>
  <c r="H18" i="8"/>
  <c r="G18" i="8"/>
  <c r="F18" i="8"/>
  <c r="E18" i="8"/>
  <c r="D18" i="8"/>
  <c r="C18" i="8"/>
  <c r="B18" i="8"/>
  <c r="L15" i="8"/>
  <c r="K15" i="8"/>
  <c r="J15" i="8"/>
  <c r="I15" i="8"/>
  <c r="H15" i="8"/>
  <c r="G15" i="8"/>
  <c r="F15" i="8"/>
  <c r="E15" i="8"/>
  <c r="D15" i="8"/>
  <c r="C15" i="8"/>
  <c r="B15" i="8"/>
  <c r="L14" i="8"/>
  <c r="L25" i="8" s="1"/>
  <c r="K14" i="8"/>
  <c r="J14" i="8"/>
  <c r="E14" i="8"/>
  <c r="D14" i="8"/>
  <c r="H13" i="8"/>
  <c r="G13" i="8"/>
  <c r="F13" i="8"/>
  <c r="E13" i="8"/>
  <c r="L12" i="8"/>
  <c r="L13" i="8" s="1"/>
  <c r="K12" i="8"/>
  <c r="K13" i="8" s="1"/>
  <c r="J12" i="8"/>
  <c r="J13" i="8" s="1"/>
  <c r="I12" i="8"/>
  <c r="I13" i="8" s="1"/>
  <c r="I14" i="8" s="1"/>
  <c r="K25" i="8" s="1"/>
  <c r="M25" i="8" s="1"/>
  <c r="M14" i="8" s="1"/>
  <c r="H12" i="8"/>
  <c r="G12" i="8"/>
  <c r="F12" i="8"/>
  <c r="E12" i="8"/>
  <c r="D12" i="8"/>
  <c r="D13" i="8" s="1"/>
  <c r="C12" i="8"/>
  <c r="C13" i="8" s="1"/>
  <c r="C14" i="8" s="1"/>
  <c r="B12" i="8"/>
  <c r="B13" i="8" s="1"/>
  <c r="B14" i="8" s="1"/>
  <c r="K11" i="8"/>
  <c r="J11" i="8"/>
  <c r="I11" i="8"/>
  <c r="H11" i="8"/>
  <c r="G11" i="8"/>
  <c r="F11" i="8"/>
  <c r="E11" i="8"/>
  <c r="D11" i="8"/>
  <c r="C11" i="8"/>
  <c r="B11" i="8"/>
  <c r="K10" i="8"/>
  <c r="J10" i="8"/>
  <c r="I10" i="8"/>
  <c r="H10" i="8"/>
  <c r="G10" i="8"/>
  <c r="F10" i="8"/>
  <c r="E10" i="8"/>
  <c r="D10" i="8"/>
  <c r="C10" i="8"/>
  <c r="B10" i="8"/>
  <c r="L9" i="8"/>
  <c r="K9" i="8"/>
  <c r="J9" i="8"/>
  <c r="I9" i="8"/>
  <c r="H9" i="8"/>
  <c r="G9" i="8"/>
  <c r="F9" i="8"/>
  <c r="E9" i="8"/>
  <c r="D9" i="8"/>
  <c r="C9" i="8"/>
  <c r="B9" i="8"/>
  <c r="N8" i="8"/>
  <c r="M8" i="8"/>
  <c r="K8" i="8"/>
  <c r="J8" i="8"/>
  <c r="I8" i="8"/>
  <c r="H8" i="8"/>
  <c r="G8" i="8"/>
  <c r="F8" i="8"/>
  <c r="E8" i="8"/>
  <c r="D8" i="8"/>
  <c r="C8" i="8"/>
  <c r="B8" i="8"/>
  <c r="K7" i="8"/>
  <c r="J7" i="8"/>
  <c r="I7" i="8"/>
  <c r="H7" i="8"/>
  <c r="G7" i="8"/>
  <c r="F7" i="8"/>
  <c r="E7" i="8"/>
  <c r="D7" i="8"/>
  <c r="C7" i="8"/>
  <c r="B7" i="8"/>
  <c r="K6" i="8"/>
  <c r="K19" i="8" s="1"/>
  <c r="K5" i="8"/>
  <c r="J5" i="8"/>
  <c r="I5" i="8"/>
  <c r="H5" i="8"/>
  <c r="G5" i="8"/>
  <c r="F5" i="8"/>
  <c r="F6" i="8" s="1"/>
  <c r="F19" i="8" s="1"/>
  <c r="E5" i="8"/>
  <c r="D5" i="8"/>
  <c r="C5" i="8"/>
  <c r="B5" i="8"/>
  <c r="L4" i="8"/>
  <c r="K4" i="8"/>
  <c r="J4" i="8"/>
  <c r="J6" i="8" s="1"/>
  <c r="J19" i="8" s="1"/>
  <c r="I4" i="8"/>
  <c r="H4" i="8"/>
  <c r="H20" i="9" s="1"/>
  <c r="G4" i="8"/>
  <c r="G6" i="8" s="1"/>
  <c r="G19" i="8" s="1"/>
  <c r="F4" i="8"/>
  <c r="E4" i="8"/>
  <c r="E6" i="8" s="1"/>
  <c r="E19" i="8" s="1"/>
  <c r="D4" i="8"/>
  <c r="C4" i="8"/>
  <c r="C20" i="9" s="1"/>
  <c r="B4" i="8"/>
  <c r="K3" i="8"/>
  <c r="J3" i="8"/>
  <c r="I3" i="8"/>
  <c r="H3" i="8"/>
  <c r="G3" i="8"/>
  <c r="F3" i="8"/>
  <c r="E3" i="8"/>
  <c r="D3" i="8"/>
  <c r="C3" i="8"/>
  <c r="B3" i="8"/>
  <c r="A1" i="8"/>
  <c r="A1" i="9" s="1"/>
  <c r="L99" i="7"/>
  <c r="K99" i="7"/>
  <c r="J99" i="7"/>
  <c r="I99" i="7"/>
  <c r="H99" i="7"/>
  <c r="G99" i="7"/>
  <c r="F99" i="7"/>
  <c r="E99" i="7"/>
  <c r="D99" i="7"/>
  <c r="C99" i="7"/>
  <c r="L98" i="7"/>
  <c r="K98" i="7"/>
  <c r="J98" i="7"/>
  <c r="I98" i="7"/>
  <c r="H98" i="7"/>
  <c r="H100" i="7" s="1"/>
  <c r="G98" i="7"/>
  <c r="G100" i="7" s="1"/>
  <c r="F98" i="7"/>
  <c r="E98" i="7"/>
  <c r="D98" i="7"/>
  <c r="C98" i="7"/>
  <c r="L97" i="7"/>
  <c r="K97" i="7"/>
  <c r="J97" i="7"/>
  <c r="I97" i="7"/>
  <c r="H97" i="7"/>
  <c r="G97" i="7"/>
  <c r="F97" i="7"/>
  <c r="E97" i="7"/>
  <c r="D97" i="7"/>
  <c r="C97" i="7"/>
  <c r="L95" i="7"/>
  <c r="K95" i="7"/>
  <c r="J95" i="7"/>
  <c r="I95" i="7"/>
  <c r="H95" i="7"/>
  <c r="G95" i="7"/>
  <c r="F95" i="7"/>
  <c r="E95" i="7"/>
  <c r="D95" i="7"/>
  <c r="D100" i="7" s="1"/>
  <c r="C95" i="7"/>
  <c r="C100" i="7" s="1"/>
  <c r="L93" i="7"/>
  <c r="L100" i="7" s="1"/>
  <c r="K93" i="7"/>
  <c r="K100" i="7" s="1"/>
  <c r="J93" i="7"/>
  <c r="J100" i="7" s="1"/>
  <c r="I93" i="7"/>
  <c r="I100" i="7" s="1"/>
  <c r="H93" i="7"/>
  <c r="G93" i="7"/>
  <c r="F93" i="7"/>
  <c r="F100" i="7" s="1"/>
  <c r="E93" i="7"/>
  <c r="E100" i="7" s="1"/>
  <c r="D93" i="7"/>
  <c r="C93" i="7"/>
  <c r="L89" i="7"/>
  <c r="K89" i="7"/>
  <c r="J89" i="7"/>
  <c r="I89" i="7"/>
  <c r="H89" i="7"/>
  <c r="G89" i="7"/>
  <c r="F89" i="7"/>
  <c r="E89" i="7"/>
  <c r="D89" i="7"/>
  <c r="C89" i="7"/>
  <c r="L88" i="7"/>
  <c r="K88" i="7"/>
  <c r="J88" i="7"/>
  <c r="I88" i="7"/>
  <c r="H88" i="7"/>
  <c r="G88" i="7"/>
  <c r="F88" i="7"/>
  <c r="E88" i="7"/>
  <c r="D88" i="7"/>
  <c r="C88" i="7"/>
  <c r="L87" i="7"/>
  <c r="K87" i="7"/>
  <c r="J87" i="7"/>
  <c r="I87" i="7"/>
  <c r="H87" i="7"/>
  <c r="G87" i="7"/>
  <c r="F87" i="7"/>
  <c r="E87" i="7"/>
  <c r="D87" i="7"/>
  <c r="C87" i="7"/>
  <c r="L85" i="7"/>
  <c r="K85" i="7"/>
  <c r="J85" i="7"/>
  <c r="I85" i="7"/>
  <c r="H85" i="7"/>
  <c r="G85" i="7"/>
  <c r="F85" i="7"/>
  <c r="E85" i="7"/>
  <c r="D85" i="7"/>
  <c r="C85" i="7"/>
  <c r="L84" i="7"/>
  <c r="K84" i="7"/>
  <c r="J84" i="7"/>
  <c r="I84" i="7"/>
  <c r="H84" i="7"/>
  <c r="G84" i="7"/>
  <c r="F84" i="7"/>
  <c r="E84" i="7"/>
  <c r="D84" i="7"/>
  <c r="C84" i="7"/>
  <c r="L83" i="7"/>
  <c r="K83" i="7"/>
  <c r="J83" i="7"/>
  <c r="I83" i="7"/>
  <c r="I90" i="7" s="1"/>
  <c r="H83" i="7"/>
  <c r="G83" i="7"/>
  <c r="F83" i="7"/>
  <c r="E83" i="7"/>
  <c r="D83" i="7"/>
  <c r="C83" i="7"/>
  <c r="L82" i="7"/>
  <c r="L90" i="7" s="1"/>
  <c r="K82" i="7"/>
  <c r="K90" i="7" s="1"/>
  <c r="J82" i="7"/>
  <c r="I82" i="7"/>
  <c r="H82" i="7"/>
  <c r="G82" i="7"/>
  <c r="F82" i="7"/>
  <c r="E82" i="7"/>
  <c r="D82" i="7"/>
  <c r="C82" i="7"/>
  <c r="L80" i="7"/>
  <c r="K80" i="7"/>
  <c r="J80" i="7"/>
  <c r="I80" i="7"/>
  <c r="H80" i="7"/>
  <c r="G80" i="7"/>
  <c r="G90" i="7" s="1"/>
  <c r="F80" i="7"/>
  <c r="F90" i="7" s="1"/>
  <c r="E80" i="7"/>
  <c r="E90" i="7" s="1"/>
  <c r="D80" i="7"/>
  <c r="D90" i="7" s="1"/>
  <c r="C80" i="7"/>
  <c r="C90" i="7" s="1"/>
  <c r="F77" i="7"/>
  <c r="F102" i="7" s="1"/>
  <c r="L76" i="7"/>
  <c r="K76" i="7"/>
  <c r="J76" i="7"/>
  <c r="I76" i="7"/>
  <c r="H76" i="7"/>
  <c r="G76" i="7"/>
  <c r="F76" i="7"/>
  <c r="E76" i="7"/>
  <c r="D76" i="7"/>
  <c r="C76" i="7"/>
  <c r="L75" i="7"/>
  <c r="K75" i="7"/>
  <c r="J75" i="7"/>
  <c r="I75" i="7"/>
  <c r="H75" i="7"/>
  <c r="G75" i="7"/>
  <c r="F75" i="7"/>
  <c r="E75" i="7"/>
  <c r="D75" i="7"/>
  <c r="C75" i="7"/>
  <c r="L74" i="7"/>
  <c r="K74" i="7"/>
  <c r="J74" i="7"/>
  <c r="I74" i="7"/>
  <c r="H74" i="7"/>
  <c r="G74" i="7"/>
  <c r="F74" i="7"/>
  <c r="E74" i="7"/>
  <c r="D74" i="7"/>
  <c r="C74" i="7"/>
  <c r="L73" i="7"/>
  <c r="K73" i="7"/>
  <c r="J73" i="7"/>
  <c r="I73" i="7"/>
  <c r="H73" i="7"/>
  <c r="G73" i="7"/>
  <c r="F73" i="7"/>
  <c r="E73" i="7"/>
  <c r="E77" i="7" s="1"/>
  <c r="E102" i="7" s="1"/>
  <c r="D73" i="7"/>
  <c r="C73" i="7"/>
  <c r="L71" i="7"/>
  <c r="K71" i="7"/>
  <c r="J71" i="7"/>
  <c r="I71" i="7"/>
  <c r="H71" i="7"/>
  <c r="H77" i="7" s="1"/>
  <c r="G71" i="7"/>
  <c r="G77" i="7" s="1"/>
  <c r="G102" i="7" s="1"/>
  <c r="F71" i="7"/>
  <c r="E71" i="7"/>
  <c r="D71" i="7"/>
  <c r="C71" i="7"/>
  <c r="L70" i="7"/>
  <c r="K70" i="7"/>
  <c r="K77" i="7" s="1"/>
  <c r="J70" i="7"/>
  <c r="J77" i="7" s="1"/>
  <c r="I70" i="7"/>
  <c r="I77" i="7" s="1"/>
  <c r="H70" i="7"/>
  <c r="G70" i="7"/>
  <c r="F70" i="7"/>
  <c r="E70" i="7"/>
  <c r="D70" i="7"/>
  <c r="C70" i="7"/>
  <c r="C77" i="7" s="1"/>
  <c r="L61" i="7"/>
  <c r="K61" i="7"/>
  <c r="J61" i="7"/>
  <c r="J62" i="7" s="1"/>
  <c r="J64" i="7" s="1"/>
  <c r="I61" i="7"/>
  <c r="I62" i="7" s="1"/>
  <c r="H61" i="7"/>
  <c r="G61" i="7"/>
  <c r="F61" i="7"/>
  <c r="E61" i="7"/>
  <c r="D61" i="7"/>
  <c r="C61" i="7"/>
  <c r="L60" i="7"/>
  <c r="L62" i="7" s="1"/>
  <c r="K60" i="7"/>
  <c r="K62" i="7" s="1"/>
  <c r="K64" i="7" s="1"/>
  <c r="J60" i="7"/>
  <c r="I60" i="7"/>
  <c r="H60" i="7"/>
  <c r="G60" i="7"/>
  <c r="F60" i="7"/>
  <c r="E60" i="7"/>
  <c r="D60" i="7"/>
  <c r="D62" i="7" s="1"/>
  <c r="D64" i="7" s="1"/>
  <c r="C60" i="7"/>
  <c r="C62" i="7" s="1"/>
  <c r="C64" i="7" s="1"/>
  <c r="L59" i="7"/>
  <c r="K59" i="7"/>
  <c r="J59" i="7"/>
  <c r="J27" i="12" s="1"/>
  <c r="J34" i="12" s="1"/>
  <c r="I59" i="7"/>
  <c r="H59" i="7"/>
  <c r="H62" i="7" s="1"/>
  <c r="H64" i="7" s="1"/>
  <c r="G59" i="7"/>
  <c r="G62" i="7" s="1"/>
  <c r="G64" i="7" s="1"/>
  <c r="F59" i="7"/>
  <c r="F62" i="7" s="1"/>
  <c r="E59" i="7"/>
  <c r="E62" i="7" s="1"/>
  <c r="E64" i="7" s="1"/>
  <c r="D59" i="7"/>
  <c r="C59" i="7"/>
  <c r="H57" i="7"/>
  <c r="G57" i="7"/>
  <c r="L56" i="7"/>
  <c r="K56" i="7"/>
  <c r="J56" i="7"/>
  <c r="J57" i="7" s="1"/>
  <c r="I56" i="7"/>
  <c r="I57" i="7" s="1"/>
  <c r="H56" i="7"/>
  <c r="G56" i="7"/>
  <c r="F56" i="7"/>
  <c r="E56" i="7"/>
  <c r="D56" i="7"/>
  <c r="C56" i="7"/>
  <c r="L55" i="7"/>
  <c r="L57" i="7" s="1"/>
  <c r="K55" i="7"/>
  <c r="K57" i="7" s="1"/>
  <c r="J55" i="7"/>
  <c r="I55" i="7"/>
  <c r="H55" i="7"/>
  <c r="G55" i="7"/>
  <c r="F55" i="7"/>
  <c r="E55" i="7"/>
  <c r="D55" i="7"/>
  <c r="C55" i="7"/>
  <c r="L54" i="7"/>
  <c r="K54" i="7"/>
  <c r="J54" i="7"/>
  <c r="I54" i="7"/>
  <c r="H54" i="7"/>
  <c r="G54" i="7"/>
  <c r="F54" i="7"/>
  <c r="E54" i="7"/>
  <c r="D54" i="7"/>
  <c r="C54" i="7"/>
  <c r="L53" i="7"/>
  <c r="K53" i="7"/>
  <c r="J53" i="7"/>
  <c r="I53" i="7"/>
  <c r="H53" i="7"/>
  <c r="G53" i="7"/>
  <c r="F53" i="7"/>
  <c r="F57" i="7" s="1"/>
  <c r="E53" i="7"/>
  <c r="E57" i="7" s="1"/>
  <c r="D53" i="7"/>
  <c r="D57" i="7" s="1"/>
  <c r="C53" i="7"/>
  <c r="C57" i="7" s="1"/>
  <c r="L51" i="7"/>
  <c r="K51" i="7"/>
  <c r="J51" i="7"/>
  <c r="I51" i="7"/>
  <c r="H51" i="7"/>
  <c r="G51" i="7"/>
  <c r="F51" i="7"/>
  <c r="E51" i="7"/>
  <c r="D51" i="7"/>
  <c r="C51" i="7"/>
  <c r="L50" i="7"/>
  <c r="K50" i="7"/>
  <c r="J50" i="7"/>
  <c r="I50" i="7"/>
  <c r="H50" i="7"/>
  <c r="G50" i="7"/>
  <c r="F50" i="7"/>
  <c r="E50" i="7"/>
  <c r="D50" i="7"/>
  <c r="C50" i="7"/>
  <c r="L49" i="7"/>
  <c r="K49" i="7"/>
  <c r="K41" i="12" s="1"/>
  <c r="J49" i="7"/>
  <c r="J41" i="12" s="1"/>
  <c r="I49" i="7"/>
  <c r="H49" i="7"/>
  <c r="H41" i="12" s="1"/>
  <c r="G49" i="7"/>
  <c r="F49" i="7"/>
  <c r="F41" i="12" s="1"/>
  <c r="E49" i="7"/>
  <c r="E41" i="12" s="1"/>
  <c r="D49" i="7"/>
  <c r="C49" i="7"/>
  <c r="C41" i="12" s="1"/>
  <c r="L48" i="7"/>
  <c r="K48" i="7"/>
  <c r="J48" i="7"/>
  <c r="I48" i="7"/>
  <c r="H48" i="7"/>
  <c r="G48" i="7"/>
  <c r="F48" i="7"/>
  <c r="E48" i="7"/>
  <c r="D48" i="7"/>
  <c r="C48" i="7"/>
  <c r="L47" i="7"/>
  <c r="K47" i="7"/>
  <c r="J47" i="7"/>
  <c r="J31" i="12" s="1"/>
  <c r="I47" i="7"/>
  <c r="H47" i="7"/>
  <c r="G47" i="7"/>
  <c r="F47" i="7"/>
  <c r="E47" i="7"/>
  <c r="D47" i="7"/>
  <c r="C47" i="7"/>
  <c r="C31" i="12" s="1"/>
  <c r="K41" i="7"/>
  <c r="J41" i="7"/>
  <c r="J9" i="12" s="1"/>
  <c r="M36" i="7"/>
  <c r="M41" i="7" s="1"/>
  <c r="L36" i="7"/>
  <c r="L41" i="7" s="1"/>
  <c r="K36" i="7"/>
  <c r="J36" i="7"/>
  <c r="I36" i="7"/>
  <c r="I41" i="7" s="1"/>
  <c r="H36" i="7"/>
  <c r="H41" i="7" s="1"/>
  <c r="G36" i="7"/>
  <c r="G41" i="7" s="1"/>
  <c r="F36" i="7"/>
  <c r="F41" i="7" s="1"/>
  <c r="E36" i="7"/>
  <c r="E41" i="7" s="1"/>
  <c r="D36" i="7"/>
  <c r="D41" i="7" s="1"/>
  <c r="C36" i="7"/>
  <c r="C41" i="7" s="1"/>
  <c r="M30" i="7"/>
  <c r="L30" i="7"/>
  <c r="K30" i="7"/>
  <c r="J30" i="7"/>
  <c r="I30" i="7"/>
  <c r="H30" i="7"/>
  <c r="G30" i="7"/>
  <c r="F30" i="7"/>
  <c r="E30" i="7"/>
  <c r="D30" i="7"/>
  <c r="C30" i="7"/>
  <c r="M27" i="7"/>
  <c r="M33" i="7" s="1"/>
  <c r="M34" i="7" s="1"/>
  <c r="M25" i="7"/>
  <c r="L25" i="7"/>
  <c r="L18" i="12" s="1"/>
  <c r="I25" i="7"/>
  <c r="I18" i="12" s="1"/>
  <c r="D25" i="7"/>
  <c r="D18" i="12" s="1"/>
  <c r="C25" i="7"/>
  <c r="C18" i="12" s="1"/>
  <c r="M24" i="7"/>
  <c r="L24" i="7"/>
  <c r="K44" i="28" s="1"/>
  <c r="K51" i="28" s="1"/>
  <c r="K24" i="7"/>
  <c r="J44" i="28" s="1"/>
  <c r="J24" i="7"/>
  <c r="I44" i="28" s="1"/>
  <c r="I24" i="7"/>
  <c r="H44" i="28" s="1"/>
  <c r="H24" i="7"/>
  <c r="G44" i="28" s="1"/>
  <c r="G24" i="7"/>
  <c r="G25" i="7" s="1"/>
  <c r="G18" i="12" s="1"/>
  <c r="F24" i="7"/>
  <c r="E24" i="7"/>
  <c r="D24" i="7"/>
  <c r="C24" i="7"/>
  <c r="I22" i="7"/>
  <c r="H22" i="7"/>
  <c r="M21" i="7"/>
  <c r="M22" i="7" s="1"/>
  <c r="L21" i="7"/>
  <c r="K21" i="7"/>
  <c r="K22" i="7" s="1"/>
  <c r="J21" i="7"/>
  <c r="J22" i="7" s="1"/>
  <c r="I21" i="7"/>
  <c r="H21" i="7"/>
  <c r="G21" i="7"/>
  <c r="F21" i="7"/>
  <c r="F22" i="7" s="1"/>
  <c r="E21" i="7"/>
  <c r="E22" i="7" s="1"/>
  <c r="D21" i="7"/>
  <c r="D22" i="7" s="1"/>
  <c r="C21" i="7"/>
  <c r="C22" i="7" s="1"/>
  <c r="M18" i="7"/>
  <c r="I16" i="7"/>
  <c r="I17" i="12" s="1"/>
  <c r="H16" i="7"/>
  <c r="H17" i="12" s="1"/>
  <c r="L15" i="7"/>
  <c r="L16" i="7" s="1"/>
  <c r="L17" i="12" s="1"/>
  <c r="K15" i="7"/>
  <c r="K16" i="7" s="1"/>
  <c r="K17" i="12" s="1"/>
  <c r="J15" i="7"/>
  <c r="J16" i="7" s="1"/>
  <c r="J17" i="12" s="1"/>
  <c r="I15" i="7"/>
  <c r="H15" i="7"/>
  <c r="G15" i="7"/>
  <c r="F15" i="7"/>
  <c r="F16" i="7" s="1"/>
  <c r="F17" i="12" s="1"/>
  <c r="E15" i="7"/>
  <c r="E16" i="7" s="1"/>
  <c r="E17" i="12" s="1"/>
  <c r="D15" i="7"/>
  <c r="D16" i="7" s="1"/>
  <c r="D17" i="12" s="1"/>
  <c r="C15" i="7"/>
  <c r="C16" i="7" s="1"/>
  <c r="C17" i="12" s="1"/>
  <c r="E12" i="7"/>
  <c r="E18" i="7" s="1"/>
  <c r="D12" i="7"/>
  <c r="D13" i="7" s="1"/>
  <c r="D11" i="12" s="1"/>
  <c r="H10" i="7"/>
  <c r="G10" i="7"/>
  <c r="M9" i="7"/>
  <c r="L9" i="7"/>
  <c r="L10" i="7" s="1"/>
  <c r="K9" i="7"/>
  <c r="K10" i="7" s="1"/>
  <c r="J9" i="7"/>
  <c r="J10" i="7" s="1"/>
  <c r="I9" i="7"/>
  <c r="I10" i="7" s="1"/>
  <c r="H9" i="7"/>
  <c r="G9" i="7"/>
  <c r="F9" i="7"/>
  <c r="E9" i="7"/>
  <c r="D9" i="7"/>
  <c r="D10" i="7" s="1"/>
  <c r="C9" i="7"/>
  <c r="C12" i="7" s="1"/>
  <c r="M7" i="7"/>
  <c r="L7" i="7"/>
  <c r="L5" i="12" s="1"/>
  <c r="K7" i="7"/>
  <c r="K5" i="12" s="1"/>
  <c r="D7" i="7"/>
  <c r="D5" i="12" s="1"/>
  <c r="M6" i="7"/>
  <c r="M10" i="7" s="1"/>
  <c r="L6" i="7"/>
  <c r="L28" i="12" s="1"/>
  <c r="L35" i="12" s="1"/>
  <c r="K6" i="7"/>
  <c r="K28" i="12" s="1"/>
  <c r="K35" i="12" s="1"/>
  <c r="J6" i="7"/>
  <c r="J39" i="12" s="1"/>
  <c r="I6" i="7"/>
  <c r="H6" i="7"/>
  <c r="H28" i="12" s="1"/>
  <c r="H35" i="12" s="1"/>
  <c r="G6" i="7"/>
  <c r="G29" i="12" s="1"/>
  <c r="G36" i="12" s="1"/>
  <c r="F6" i="7"/>
  <c r="F10" i="7" s="1"/>
  <c r="E6" i="7"/>
  <c r="D6" i="7"/>
  <c r="D30" i="12" s="1"/>
  <c r="C6" i="7"/>
  <c r="C30" i="12" s="1"/>
  <c r="L3" i="7"/>
  <c r="I68" i="14" s="1"/>
  <c r="K3" i="7"/>
  <c r="H68" i="14" s="1"/>
  <c r="H74" i="14" s="1"/>
  <c r="J3" i="7"/>
  <c r="I3" i="7"/>
  <c r="F68" i="13" s="1"/>
  <c r="H3" i="7"/>
  <c r="G3" i="7"/>
  <c r="D68" i="14" s="1"/>
  <c r="F3" i="7"/>
  <c r="E3" i="7"/>
  <c r="D3" i="7"/>
  <c r="C3" i="7"/>
  <c r="B2" i="7"/>
  <c r="B9" i="5"/>
  <c r="D4" i="5"/>
  <c r="F4" i="5" s="1"/>
  <c r="C4" i="5"/>
  <c r="B4" i="5"/>
  <c r="B20" i="4"/>
  <c r="B13" i="3"/>
  <c r="B34" i="2"/>
  <c r="B33" i="2"/>
  <c r="B32" i="2"/>
  <c r="B31" i="2"/>
  <c r="C27" i="2"/>
  <c r="B27" i="2"/>
  <c r="B20" i="2"/>
  <c r="C20" i="2" s="1"/>
  <c r="B16" i="2"/>
  <c r="C16" i="2" s="1"/>
  <c r="B11" i="2"/>
  <c r="C11" i="2" s="1"/>
  <c r="B10" i="2"/>
  <c r="C10" i="2" s="1"/>
  <c r="B8" i="2"/>
  <c r="C8" i="2" s="1"/>
  <c r="G23" i="31"/>
  <c r="C9" i="5" s="1"/>
  <c r="D9" i="5" s="1"/>
  <c r="F9" i="5" s="1"/>
  <c r="G20" i="31"/>
  <c r="G10" i="31"/>
  <c r="F10" i="31"/>
  <c r="E10" i="31"/>
  <c r="D10" i="31"/>
  <c r="G9" i="31"/>
  <c r="F9" i="31"/>
  <c r="E9" i="31"/>
  <c r="D9" i="31"/>
  <c r="C9" i="31"/>
  <c r="B9" i="31"/>
  <c r="G8" i="31"/>
  <c r="F8" i="31"/>
  <c r="E8" i="31"/>
  <c r="D8" i="31"/>
  <c r="C8" i="31"/>
  <c r="C10" i="31" s="1"/>
  <c r="B8" i="31"/>
  <c r="B10" i="31" s="1"/>
  <c r="I64" i="7" l="1"/>
  <c r="L9" i="12"/>
  <c r="E66" i="7"/>
  <c r="E40" i="12"/>
  <c r="E9" i="12"/>
  <c r="M11" i="8"/>
  <c r="N11" i="8"/>
  <c r="I9" i="12"/>
  <c r="H9" i="12"/>
  <c r="G40" i="12"/>
  <c r="G66" i="7"/>
  <c r="I102" i="7"/>
  <c r="G9" i="12"/>
  <c r="J66" i="7"/>
  <c r="J40" i="12"/>
  <c r="H40" i="12"/>
  <c r="H66" i="7"/>
  <c r="C18" i="7"/>
  <c r="C13" i="7"/>
  <c r="C11" i="12" s="1"/>
  <c r="F9" i="12"/>
  <c r="K40" i="12"/>
  <c r="K66" i="7"/>
  <c r="C102" i="7"/>
  <c r="K102" i="7"/>
  <c r="C66" i="7"/>
  <c r="C40" i="12"/>
  <c r="D66" i="7"/>
  <c r="D40" i="12"/>
  <c r="L64" i="7"/>
  <c r="H103" i="13"/>
  <c r="B23" i="2"/>
  <c r="C23" i="2" s="1"/>
  <c r="D74" i="14"/>
  <c r="D90" i="14"/>
  <c r="D96" i="14" s="1"/>
  <c r="E31" i="12"/>
  <c r="E28" i="12"/>
  <c r="E35" i="12" s="1"/>
  <c r="M12" i="7"/>
  <c r="M13" i="7" s="1"/>
  <c r="M19" i="7"/>
  <c r="F25" i="7"/>
  <c r="F18" i="12" s="1"/>
  <c r="P41" i="12"/>
  <c r="O41" i="12"/>
  <c r="D24" i="9"/>
  <c r="J23" i="9"/>
  <c r="L27" i="12"/>
  <c r="L34" i="12" s="1"/>
  <c r="L30" i="12"/>
  <c r="H68" i="13"/>
  <c r="I91" i="13"/>
  <c r="I71" i="13"/>
  <c r="I75" i="13"/>
  <c r="I77" i="13" s="1"/>
  <c r="I87" i="13" s="1"/>
  <c r="I93" i="14"/>
  <c r="G15" i="16"/>
  <c r="E68" i="13"/>
  <c r="E68" i="14"/>
  <c r="F31" i="12"/>
  <c r="F29" i="12"/>
  <c r="F36" i="12" s="1"/>
  <c r="F27" i="12"/>
  <c r="F34" i="12" s="1"/>
  <c r="F28" i="12"/>
  <c r="F35" i="12" s="1"/>
  <c r="E13" i="12"/>
  <c r="E19" i="12" s="1"/>
  <c r="E21" i="12"/>
  <c r="E19" i="7"/>
  <c r="E12" i="12" s="1"/>
  <c r="D9" i="12"/>
  <c r="K9" i="12"/>
  <c r="F64" i="7"/>
  <c r="I20" i="9"/>
  <c r="I6" i="8"/>
  <c r="I19" i="8" s="1"/>
  <c r="K24" i="8" s="1"/>
  <c r="M24" i="8" s="1"/>
  <c r="E24" i="9"/>
  <c r="D23" i="9"/>
  <c r="H29" i="12"/>
  <c r="H36" i="12" s="1"/>
  <c r="I74" i="13"/>
  <c r="I90" i="13"/>
  <c r="I96" i="13" s="1"/>
  <c r="E98" i="13"/>
  <c r="E101" i="13" s="1"/>
  <c r="E103" i="13" s="1"/>
  <c r="E81" i="13"/>
  <c r="H92" i="13"/>
  <c r="H102" i="13" s="1"/>
  <c r="H83" i="13"/>
  <c r="H85" i="13" s="1"/>
  <c r="H81" i="13"/>
  <c r="F74" i="13"/>
  <c r="F90" i="13"/>
  <c r="F96" i="13" s="1"/>
  <c r="G12" i="7"/>
  <c r="G28" i="12"/>
  <c r="G35" i="12" s="1"/>
  <c r="G37" i="12" s="1"/>
  <c r="G31" i="12"/>
  <c r="G30" i="12"/>
  <c r="G27" i="12"/>
  <c r="G34" i="12" s="1"/>
  <c r="E7" i="7"/>
  <c r="E5" i="12" s="1"/>
  <c r="P5" i="12" s="1"/>
  <c r="F12" i="7"/>
  <c r="E13" i="7"/>
  <c r="E11" i="12" s="1"/>
  <c r="E27" i="23"/>
  <c r="E29" i="23" s="1"/>
  <c r="K43" i="23" s="1"/>
  <c r="L22" i="7"/>
  <c r="E25" i="7"/>
  <c r="E18" i="12" s="1"/>
  <c r="P18" i="12" s="1"/>
  <c r="B6" i="8"/>
  <c r="B19" i="8" s="1"/>
  <c r="H24" i="8" s="1"/>
  <c r="N24" i="8" s="1"/>
  <c r="F14" i="8"/>
  <c r="I25" i="8" s="1"/>
  <c r="H23" i="8"/>
  <c r="N23" i="8" s="1"/>
  <c r="F24" i="9"/>
  <c r="E23" i="9"/>
  <c r="C24" i="9"/>
  <c r="C75" i="13"/>
  <c r="C77" i="13" s="1"/>
  <c r="C91" i="13"/>
  <c r="F93" i="13"/>
  <c r="C93" i="14"/>
  <c r="L15" i="16"/>
  <c r="B20" i="9"/>
  <c r="L6" i="8"/>
  <c r="L19" i="8" s="1"/>
  <c r="L24" i="8" s="1"/>
  <c r="F81" i="13"/>
  <c r="F87" i="13" s="1"/>
  <c r="H93" i="13"/>
  <c r="G68" i="14"/>
  <c r="G68" i="13"/>
  <c r="H7" i="7"/>
  <c r="H5" i="12" s="1"/>
  <c r="H31" i="12"/>
  <c r="H30" i="12"/>
  <c r="H27" i="12"/>
  <c r="H34" i="12" s="1"/>
  <c r="H37" i="12" s="1"/>
  <c r="H39" i="12"/>
  <c r="F7" i="7"/>
  <c r="F5" i="12" s="1"/>
  <c r="H12" i="7"/>
  <c r="E27" i="7"/>
  <c r="M28" i="7"/>
  <c r="M38" i="7"/>
  <c r="M42" i="7" s="1"/>
  <c r="H90" i="7"/>
  <c r="H102" i="7" s="1"/>
  <c r="N4" i="8"/>
  <c r="K23" i="8"/>
  <c r="M23" i="8" s="1"/>
  <c r="J23" i="8"/>
  <c r="C6" i="8"/>
  <c r="C19" i="8" s="1"/>
  <c r="N9" i="8"/>
  <c r="M9" i="8"/>
  <c r="G14" i="8"/>
  <c r="L23" i="8"/>
  <c r="I30" i="12"/>
  <c r="I27" i="12"/>
  <c r="I34" i="12" s="1"/>
  <c r="I39" i="12"/>
  <c r="G7" i="7"/>
  <c r="G5" i="12" s="1"/>
  <c r="I12" i="7"/>
  <c r="H25" i="7"/>
  <c r="H18" i="12" s="1"/>
  <c r="D6" i="8"/>
  <c r="D19" i="8" s="1"/>
  <c r="I23" i="8"/>
  <c r="H14" i="8"/>
  <c r="C27" i="12"/>
  <c r="I28" i="12"/>
  <c r="I35" i="12" s="1"/>
  <c r="I37" i="12" s="1"/>
  <c r="I31" i="12"/>
  <c r="C35" i="12"/>
  <c r="D39" i="12"/>
  <c r="G81" i="13"/>
  <c r="D27" i="12"/>
  <c r="D34" i="12" s="1"/>
  <c r="E39" i="12"/>
  <c r="C85" i="13"/>
  <c r="F99" i="13"/>
  <c r="F68" i="14"/>
  <c r="C81" i="14"/>
  <c r="C92" i="14" s="1"/>
  <c r="C77" i="14"/>
  <c r="I74" i="14"/>
  <c r="I90" i="14"/>
  <c r="I96" i="14" s="1"/>
  <c r="I7" i="7"/>
  <c r="I5" i="12" s="1"/>
  <c r="C10" i="7"/>
  <c r="J12" i="7"/>
  <c r="J90" i="7"/>
  <c r="J102" i="7" s="1"/>
  <c r="E20" i="9"/>
  <c r="M4" i="8"/>
  <c r="C39" i="12"/>
  <c r="C29" i="12"/>
  <c r="K30" i="12"/>
  <c r="K39" i="12"/>
  <c r="K29" i="12"/>
  <c r="K36" i="12" s="1"/>
  <c r="J7" i="7"/>
  <c r="J5" i="12" s="1"/>
  <c r="K12" i="7"/>
  <c r="G16" i="7"/>
  <c r="G17" i="12" s="1"/>
  <c r="P17" i="12" s="1"/>
  <c r="D18" i="7"/>
  <c r="J25" i="7"/>
  <c r="J18" i="12" s="1"/>
  <c r="I24" i="8"/>
  <c r="I23" i="9"/>
  <c r="J20" i="9"/>
  <c r="C23" i="9"/>
  <c r="A1" i="10"/>
  <c r="E6" i="12"/>
  <c r="E27" i="12"/>
  <c r="E34" i="12" s="1"/>
  <c r="E30" i="12"/>
  <c r="P30" i="12" s="1"/>
  <c r="K31" i="12"/>
  <c r="F39" i="12"/>
  <c r="I81" i="13"/>
  <c r="I98" i="13"/>
  <c r="I101" i="13" s="1"/>
  <c r="I103" i="13" s="1"/>
  <c r="D81" i="14"/>
  <c r="D92" i="14" s="1"/>
  <c r="D93" i="14" s="1"/>
  <c r="D77" i="14"/>
  <c r="C68" i="13"/>
  <c r="C68" i="14"/>
  <c r="D29" i="12"/>
  <c r="D36" i="12" s="1"/>
  <c r="D31" i="12"/>
  <c r="P31" i="12" s="1"/>
  <c r="D28" i="12"/>
  <c r="D35" i="12" s="1"/>
  <c r="D37" i="12" s="1"/>
  <c r="B75" i="18"/>
  <c r="B15" i="18"/>
  <c r="B5" i="15"/>
  <c r="L39" i="12"/>
  <c r="L29" i="12"/>
  <c r="L36" i="12" s="1"/>
  <c r="L37" i="12" s="1"/>
  <c r="E10" i="7"/>
  <c r="L12" i="7"/>
  <c r="G22" i="7"/>
  <c r="K25" i="7"/>
  <c r="K18" i="12" s="1"/>
  <c r="M31" i="7"/>
  <c r="G20" i="9"/>
  <c r="K20" i="9"/>
  <c r="H14" i="10"/>
  <c r="E25" i="12"/>
  <c r="K27" i="12"/>
  <c r="K34" i="12" s="1"/>
  <c r="K37" i="12" s="1"/>
  <c r="E29" i="12"/>
  <c r="E36" i="12" s="1"/>
  <c r="F30" i="12"/>
  <c r="L31" i="12"/>
  <c r="G39" i="12"/>
  <c r="D68" i="13"/>
  <c r="H87" i="13"/>
  <c r="H97" i="13"/>
  <c r="H99" i="13" s="1"/>
  <c r="H105" i="13" s="1"/>
  <c r="E81" i="14"/>
  <c r="E92" i="14" s="1"/>
  <c r="E93" i="14" s="1"/>
  <c r="E77" i="14"/>
  <c r="I77" i="14"/>
  <c r="D83" i="13"/>
  <c r="D85" i="13" s="1"/>
  <c r="D92" i="13"/>
  <c r="D102" i="13" s="1"/>
  <c r="F71" i="14"/>
  <c r="I14" i="10"/>
  <c r="E91" i="13"/>
  <c r="E75" i="13"/>
  <c r="E77" i="13" s="1"/>
  <c r="E87" i="13" s="1"/>
  <c r="G71" i="14"/>
  <c r="D77" i="7"/>
  <c r="D102" i="7" s="1"/>
  <c r="L77" i="7"/>
  <c r="L102" i="7" s="1"/>
  <c r="H6" i="8"/>
  <c r="H19" i="8" s="1"/>
  <c r="J24" i="8" s="1"/>
  <c r="H24" i="9"/>
  <c r="F23" i="9"/>
  <c r="F92" i="13"/>
  <c r="F102" i="13" s="1"/>
  <c r="F103" i="13" s="1"/>
  <c r="F83" i="13"/>
  <c r="F85" i="13" s="1"/>
  <c r="G87" i="13"/>
  <c r="D98" i="13"/>
  <c r="D101" i="13" s="1"/>
  <c r="D103" i="13" s="1"/>
  <c r="D81" i="13"/>
  <c r="D87" i="13" s="1"/>
  <c r="D93" i="13"/>
  <c r="B15" i="16"/>
  <c r="D9" i="16"/>
  <c r="D7" i="16"/>
  <c r="E7" i="16" s="1"/>
  <c r="D6" i="16"/>
  <c r="D8" i="16"/>
  <c r="E8" i="16" s="1"/>
  <c r="C18" i="16"/>
  <c r="H18" i="16" s="1"/>
  <c r="M18" i="16" s="1"/>
  <c r="F6" i="29"/>
  <c r="G6" i="29" s="1"/>
  <c r="H6" i="29" s="1"/>
  <c r="I6" i="29" s="1"/>
  <c r="J6" i="29" s="1"/>
  <c r="K6" i="29" s="1"/>
  <c r="G91" i="13"/>
  <c r="D5" i="16"/>
  <c r="E5" i="16" s="1"/>
  <c r="M3" i="18"/>
  <c r="B23" i="18"/>
  <c r="G10" i="19"/>
  <c r="E10" i="20"/>
  <c r="E10" i="16"/>
  <c r="I22" i="23"/>
  <c r="H7" i="19"/>
  <c r="G7" i="20" s="1"/>
  <c r="G27" i="20" s="1"/>
  <c r="E8" i="19"/>
  <c r="C8" i="20"/>
  <c r="C28" i="20" s="1"/>
  <c r="D11" i="19"/>
  <c r="G71" i="13"/>
  <c r="E13" i="16"/>
  <c r="H15" i="16"/>
  <c r="M15" i="16" s="1"/>
  <c r="F5" i="19"/>
  <c r="E11" i="19"/>
  <c r="D23" i="20"/>
  <c r="D7" i="20"/>
  <c r="D27" i="20" s="1"/>
  <c r="K36" i="28"/>
  <c r="H51" i="28"/>
  <c r="J28" i="12"/>
  <c r="J35" i="12" s="1"/>
  <c r="J37" i="12" s="1"/>
  <c r="J30" i="12"/>
  <c r="F71" i="13"/>
  <c r="D4" i="16"/>
  <c r="D14" i="16" s="1"/>
  <c r="E14" i="16" s="1"/>
  <c r="F3" i="19"/>
  <c r="E7" i="20"/>
  <c r="E27" i="20" s="1"/>
  <c r="C38" i="23"/>
  <c r="J45" i="28"/>
  <c r="J51" i="28" s="1"/>
  <c r="E9" i="19"/>
  <c r="C9" i="20"/>
  <c r="C29" i="20" s="1"/>
  <c r="B31" i="20"/>
  <c r="I12" i="28"/>
  <c r="I20" i="28" s="1"/>
  <c r="J36" i="28"/>
  <c r="F6" i="19"/>
  <c r="D6" i="20"/>
  <c r="D26" i="20" s="1"/>
  <c r="C23" i="20"/>
  <c r="C31" i="20"/>
  <c r="D4" i="20"/>
  <c r="D24" i="20" s="1"/>
  <c r="F4" i="19"/>
  <c r="I21" i="23"/>
  <c r="H45" i="28"/>
  <c r="G11" i="32"/>
  <c r="D43" i="29"/>
  <c r="G18" i="31" s="1"/>
  <c r="H22" i="23"/>
  <c r="J17" i="23"/>
  <c r="J15" i="23"/>
  <c r="N22" i="24"/>
  <c r="N8" i="24"/>
  <c r="N7" i="24"/>
  <c r="N21" i="24"/>
  <c r="O32" i="24"/>
  <c r="N32" i="24" s="1"/>
  <c r="N11" i="24" s="1"/>
  <c r="G36" i="28"/>
  <c r="C12" i="19"/>
  <c r="B5" i="30"/>
  <c r="B7" i="30"/>
  <c r="H21" i="23"/>
  <c r="E36" i="23" s="1"/>
  <c r="Q12" i="32"/>
  <c r="H12" i="32"/>
  <c r="Q14" i="32"/>
  <c r="H14" i="32"/>
  <c r="Q16" i="32"/>
  <c r="H16" i="32"/>
  <c r="F18" i="32"/>
  <c r="F20" i="32"/>
  <c r="H13" i="32"/>
  <c r="H15" i="32"/>
  <c r="H17" i="32"/>
  <c r="H19" i="32"/>
  <c r="O34" i="32"/>
  <c r="P34" i="32"/>
  <c r="F11" i="32"/>
  <c r="P16" i="32" l="1"/>
  <c r="O16" i="32"/>
  <c r="B8" i="30"/>
  <c r="J21" i="23"/>
  <c r="J22" i="23"/>
  <c r="K35" i="23" s="1"/>
  <c r="E9" i="16"/>
  <c r="B6" i="22"/>
  <c r="B7" i="22"/>
  <c r="C90" i="14"/>
  <c r="C96" i="14" s="1"/>
  <c r="C74" i="14"/>
  <c r="J13" i="7"/>
  <c r="J11" i="12" s="1"/>
  <c r="J18" i="7"/>
  <c r="F90" i="14"/>
  <c r="F96" i="14" s="1"/>
  <c r="F74" i="14"/>
  <c r="O28" i="12"/>
  <c r="G16" i="16"/>
  <c r="O5" i="12"/>
  <c r="D8" i="20"/>
  <c r="D28" i="20" s="1"/>
  <c r="D32" i="20" s="1"/>
  <c r="F8" i="19"/>
  <c r="C15" i="18"/>
  <c r="B16" i="18"/>
  <c r="B17" i="18" s="1"/>
  <c r="C90" i="13"/>
  <c r="C96" i="13" s="1"/>
  <c r="C74" i="13"/>
  <c r="F105" i="13"/>
  <c r="I13" i="7"/>
  <c r="I11" i="12" s="1"/>
  <c r="I18" i="7"/>
  <c r="P28" i="12"/>
  <c r="F37" i="12"/>
  <c r="C32" i="20"/>
  <c r="F9" i="19"/>
  <c r="D9" i="20"/>
  <c r="D29" i="20" s="1"/>
  <c r="E5" i="20"/>
  <c r="E25" i="20" s="1"/>
  <c r="G5" i="19"/>
  <c r="G97" i="13"/>
  <c r="G99" i="13" s="1"/>
  <c r="G105" i="13" s="1"/>
  <c r="G93" i="13"/>
  <c r="B76" i="18"/>
  <c r="B77" i="18" s="1"/>
  <c r="C75" i="18"/>
  <c r="P29" i="12"/>
  <c r="O29" i="12"/>
  <c r="C36" i="12"/>
  <c r="P27" i="12"/>
  <c r="C34" i="12"/>
  <c r="O27" i="12"/>
  <c r="E28" i="7"/>
  <c r="E14" i="12" s="1"/>
  <c r="E33" i="7"/>
  <c r="E31" i="7"/>
  <c r="G74" i="13"/>
  <c r="G90" i="13"/>
  <c r="G96" i="13" s="1"/>
  <c r="L16" i="16"/>
  <c r="G13" i="7"/>
  <c r="G11" i="12" s="1"/>
  <c r="G18" i="7"/>
  <c r="F40" i="12"/>
  <c r="O40" i="12" s="1"/>
  <c r="F66" i="7"/>
  <c r="H25" i="8"/>
  <c r="E12" i="19"/>
  <c r="C34" i="15" s="1"/>
  <c r="P17" i="32"/>
  <c r="O17" i="32"/>
  <c r="P14" i="32"/>
  <c r="O14" i="32"/>
  <c r="P15" i="32"/>
  <c r="O15" i="32"/>
  <c r="I14" i="23"/>
  <c r="J14" i="23" s="1"/>
  <c r="K9" i="24"/>
  <c r="K15" i="24" s="1"/>
  <c r="D15" i="16"/>
  <c r="E15" i="16" s="1"/>
  <c r="B16" i="16"/>
  <c r="E97" i="13"/>
  <c r="E99" i="13" s="1"/>
  <c r="E105" i="13" s="1"/>
  <c r="E93" i="13"/>
  <c r="D25" i="12"/>
  <c r="D13" i="12"/>
  <c r="D19" i="12" s="1"/>
  <c r="D21" i="12"/>
  <c r="D6" i="12"/>
  <c r="D27" i="7"/>
  <c r="D19" i="7"/>
  <c r="D12" i="12" s="1"/>
  <c r="P39" i="12"/>
  <c r="O39" i="12"/>
  <c r="H13" i="7"/>
  <c r="H11" i="12" s="1"/>
  <c r="H18" i="7"/>
  <c r="G74" i="14"/>
  <c r="G90" i="14"/>
  <c r="G96" i="14" s="1"/>
  <c r="B6" i="2"/>
  <c r="C6" i="2" s="1"/>
  <c r="O30" i="12"/>
  <c r="C3" i="30"/>
  <c r="B15" i="5"/>
  <c r="P13" i="32"/>
  <c r="O13" i="32"/>
  <c r="P12" i="32"/>
  <c r="O12" i="32"/>
  <c r="P32" i="32"/>
  <c r="O32" i="32"/>
  <c r="Q32" i="32"/>
  <c r="D37" i="23"/>
  <c r="D38" i="23"/>
  <c r="E38" i="23" s="1"/>
  <c r="E37" i="23" s="1"/>
  <c r="L44" i="23" s="1"/>
  <c r="M6" i="8"/>
  <c r="M10" i="8" s="1"/>
  <c r="M12" i="8" s="1"/>
  <c r="M13" i="8" s="1"/>
  <c r="M15" i="8" s="1"/>
  <c r="M5" i="8"/>
  <c r="F18" i="7"/>
  <c r="I4" i="16" s="1" a="1"/>
  <c r="F13" i="7"/>
  <c r="F11" i="12" s="1"/>
  <c r="P11" i="12" s="1"/>
  <c r="I97" i="13"/>
  <c r="I99" i="13" s="1"/>
  <c r="I105" i="13" s="1"/>
  <c r="I93" i="13"/>
  <c r="O31" i="12"/>
  <c r="E6" i="20"/>
  <c r="E26" i="20" s="1"/>
  <c r="G6" i="19"/>
  <c r="Q28" i="32"/>
  <c r="Q37" i="32" s="1"/>
  <c r="B8" i="3" s="1"/>
  <c r="P9" i="12"/>
  <c r="O9" i="12"/>
  <c r="E74" i="14"/>
  <c r="E90" i="14"/>
  <c r="E96" i="14" s="1"/>
  <c r="H90" i="13"/>
  <c r="H96" i="13" s="1"/>
  <c r="H74" i="13"/>
  <c r="O17" i="12"/>
  <c r="P19" i="32"/>
  <c r="O19" i="32"/>
  <c r="L13" i="7"/>
  <c r="L11" i="12" s="1"/>
  <c r="L18" i="7"/>
  <c r="Q20" i="32"/>
  <c r="H20" i="32"/>
  <c r="E30" i="20"/>
  <c r="K18" i="7"/>
  <c r="K13" i="7"/>
  <c r="K11" i="12" s="1"/>
  <c r="L43" i="23"/>
  <c r="E40" i="23"/>
  <c r="K36" i="23" s="1"/>
  <c r="I45" i="28"/>
  <c r="I51" i="28" s="1"/>
  <c r="I36" i="28"/>
  <c r="F11" i="19"/>
  <c r="E3" i="20"/>
  <c r="G3" i="19"/>
  <c r="D36" i="23"/>
  <c r="H10" i="19"/>
  <c r="G10" i="20" s="1"/>
  <c r="G30" i="20" s="1"/>
  <c r="F10" i="20"/>
  <c r="F30" i="20" s="1"/>
  <c r="E6" i="16"/>
  <c r="D99" i="13"/>
  <c r="D105" i="13" s="1"/>
  <c r="C97" i="13"/>
  <c r="C99" i="13" s="1"/>
  <c r="C105" i="13" s="1"/>
  <c r="C93" i="13"/>
  <c r="E90" i="13"/>
  <c r="E96" i="13" s="1"/>
  <c r="E74" i="13"/>
  <c r="O11" i="12"/>
  <c r="D74" i="13"/>
  <c r="D90" i="13"/>
  <c r="D96" i="13" s="1"/>
  <c r="N6" i="8"/>
  <c r="N10" i="8" s="1"/>
  <c r="N12" i="8" s="1"/>
  <c r="N13" i="8" s="1"/>
  <c r="N5" i="8"/>
  <c r="Q11" i="32"/>
  <c r="H11" i="32"/>
  <c r="Q18" i="32"/>
  <c r="Q21" i="32" s="1"/>
  <c r="H18" i="32"/>
  <c r="G4" i="19"/>
  <c r="E4" i="20"/>
  <c r="E24" i="20" s="1"/>
  <c r="B3" i="30"/>
  <c r="B6" i="30" s="1"/>
  <c r="B33" i="20"/>
  <c r="B41" i="15"/>
  <c r="D31" i="20"/>
  <c r="D12" i="19"/>
  <c r="B34" i="15" s="1"/>
  <c r="P35" i="12"/>
  <c r="C37" i="12"/>
  <c r="O35" i="12"/>
  <c r="J25" i="8"/>
  <c r="M44" i="7"/>
  <c r="O18" i="12"/>
  <c r="C87" i="13"/>
  <c r="E37" i="12"/>
  <c r="L40" i="12"/>
  <c r="L66" i="7"/>
  <c r="C27" i="7"/>
  <c r="C25" i="12"/>
  <c r="C13" i="12"/>
  <c r="C21" i="12"/>
  <c r="C19" i="7"/>
  <c r="C12" i="12" s="1"/>
  <c r="I40" i="12"/>
  <c r="P40" i="12" s="1"/>
  <c r="I66" i="7"/>
  <c r="D5" i="30" l="1"/>
  <c r="D33" i="20"/>
  <c r="C19" i="5"/>
  <c r="I13" i="16"/>
  <c r="I5" i="16"/>
  <c r="I12" i="16"/>
  <c r="I4" i="16"/>
  <c r="I6" i="16"/>
  <c r="I7" i="16"/>
  <c r="I11" i="16"/>
  <c r="J11" i="16" s="1"/>
  <c r="I10" i="16"/>
  <c r="I9" i="16"/>
  <c r="I8" i="16"/>
  <c r="J8" i="16" s="1"/>
  <c r="F12" i="19"/>
  <c r="D34" i="15" s="1"/>
  <c r="F5" i="20"/>
  <c r="F25" i="20" s="1"/>
  <c r="H5" i="19"/>
  <c r="G5" i="20" s="1"/>
  <c r="G25" i="20" s="1"/>
  <c r="C19" i="12"/>
  <c r="P11" i="32"/>
  <c r="O11" i="32"/>
  <c r="P37" i="12"/>
  <c r="O37" i="12"/>
  <c r="Q26" i="32"/>
  <c r="P36" i="12"/>
  <c r="O36" i="12"/>
  <c r="B9" i="30"/>
  <c r="B11" i="30"/>
  <c r="B15" i="30" s="1"/>
  <c r="Q25" i="32"/>
  <c r="Q33" i="32" s="1"/>
  <c r="H4" i="19"/>
  <c r="G4" i="20" s="1"/>
  <c r="G24" i="20" s="1"/>
  <c r="F4" i="20"/>
  <c r="F24" i="20" s="1"/>
  <c r="P20" i="32"/>
  <c r="O20" i="32"/>
  <c r="Q24" i="32"/>
  <c r="C7" i="30"/>
  <c r="C4" i="30"/>
  <c r="P18" i="32"/>
  <c r="P24" i="32" s="1"/>
  <c r="O18" i="32"/>
  <c r="O21" i="32" s="1"/>
  <c r="Q27" i="32"/>
  <c r="D16" i="16"/>
  <c r="E16" i="16" s="1"/>
  <c r="B17" i="16"/>
  <c r="D7" i="12"/>
  <c r="D33" i="7"/>
  <c r="E8" i="12" s="1"/>
  <c r="D28" i="7"/>
  <c r="D14" i="12" s="1"/>
  <c r="D31" i="7"/>
  <c r="G6" i="12"/>
  <c r="D80" i="14"/>
  <c r="D82" i="14" s="1"/>
  <c r="D97" i="14" s="1"/>
  <c r="D98" i="14" s="1"/>
  <c r="G27" i="7"/>
  <c r="G13" i="12"/>
  <c r="G19" i="12" s="1"/>
  <c r="G19" i="7"/>
  <c r="G12" i="12" s="1"/>
  <c r="P12" i="12" s="1"/>
  <c r="G21" i="12"/>
  <c r="O21" i="12" s="1"/>
  <c r="G25" i="12"/>
  <c r="E23" i="12"/>
  <c r="E38" i="7"/>
  <c r="E34" i="7"/>
  <c r="E15" i="12" s="1"/>
  <c r="E9" i="20"/>
  <c r="E29" i="20" s="1"/>
  <c r="G9" i="19"/>
  <c r="G17" i="16"/>
  <c r="C16" i="30"/>
  <c r="F24" i="29"/>
  <c r="F59" i="29" s="1"/>
  <c r="B37" i="18"/>
  <c r="C3" i="17"/>
  <c r="B37" i="15"/>
  <c r="R4" i="16"/>
  <c r="R5" i="16" s="1"/>
  <c r="B17" i="2"/>
  <c r="C17" i="2" s="1"/>
  <c r="L25" i="12"/>
  <c r="L13" i="12"/>
  <c r="L19" i="12" s="1"/>
  <c r="L21" i="12"/>
  <c r="L19" i="7"/>
  <c r="L12" i="12" s="1"/>
  <c r="I80" i="14"/>
  <c r="I82" i="14" s="1"/>
  <c r="I97" i="14" s="1"/>
  <c r="I98" i="14" s="1"/>
  <c r="L27" i="7"/>
  <c r="L6" i="12"/>
  <c r="D16" i="30"/>
  <c r="C4" i="17"/>
  <c r="C37" i="18"/>
  <c r="C40" i="18" s="1"/>
  <c r="S4" i="16"/>
  <c r="C37" i="15"/>
  <c r="D75" i="18"/>
  <c r="C76" i="18"/>
  <c r="C77" i="18" s="1"/>
  <c r="C5" i="30"/>
  <c r="C33" i="20"/>
  <c r="B19" i="5"/>
  <c r="E7" i="12"/>
  <c r="D15" i="18"/>
  <c r="C16" i="18"/>
  <c r="C17" i="18" s="1"/>
  <c r="P23" i="32"/>
  <c r="P28" i="32"/>
  <c r="P26" i="32"/>
  <c r="H80" i="14"/>
  <c r="H82" i="14" s="1"/>
  <c r="H97" i="14" s="1"/>
  <c r="H98" i="14" s="1"/>
  <c r="K27" i="7"/>
  <c r="K25" i="12"/>
  <c r="K13" i="12"/>
  <c r="K19" i="12" s="1"/>
  <c r="K6" i="12"/>
  <c r="K21" i="12"/>
  <c r="K19" i="7"/>
  <c r="K12" i="12" s="1"/>
  <c r="F6" i="20"/>
  <c r="F26" i="20" s="1"/>
  <c r="H6" i="19"/>
  <c r="G6" i="20" s="1"/>
  <c r="G26" i="20" s="1"/>
  <c r="N25" i="8"/>
  <c r="N14" i="8" s="1"/>
  <c r="L17" i="16"/>
  <c r="D3" i="30"/>
  <c r="C15" i="5"/>
  <c r="C80" i="14"/>
  <c r="C82" i="14" s="1"/>
  <c r="C97" i="14" s="1"/>
  <c r="C98" i="14" s="1"/>
  <c r="F21" i="12"/>
  <c r="P21" i="12" s="1"/>
  <c r="F6" i="12"/>
  <c r="F27" i="7"/>
  <c r="F13" i="12"/>
  <c r="F19" i="12" s="1"/>
  <c r="F19" i="7"/>
  <c r="F12" i="12" s="1"/>
  <c r="O12" i="12" s="1"/>
  <c r="F25" i="12"/>
  <c r="P25" i="12" s="1"/>
  <c r="O26" i="32"/>
  <c r="O23" i="32"/>
  <c r="O22" i="32"/>
  <c r="O27" i="32"/>
  <c r="O24" i="32"/>
  <c r="O28" i="32"/>
  <c r="C31" i="7"/>
  <c r="C28" i="7"/>
  <c r="C14" i="12" s="1"/>
  <c r="C33" i="7"/>
  <c r="D41" i="15"/>
  <c r="F41" i="15"/>
  <c r="C41" i="15"/>
  <c r="B21" i="2"/>
  <c r="C21" i="2" s="1"/>
  <c r="E41" i="15"/>
  <c r="D40" i="23"/>
  <c r="F3" i="20"/>
  <c r="H3" i="19"/>
  <c r="Q22" i="32"/>
  <c r="E80" i="14"/>
  <c r="E82" i="14" s="1"/>
  <c r="E97" i="14" s="1"/>
  <c r="E98" i="14" s="1"/>
  <c r="H6" i="12"/>
  <c r="O6" i="12" s="1"/>
  <c r="H27" i="7"/>
  <c r="H13" i="12"/>
  <c r="H19" i="12" s="1"/>
  <c r="H21" i="12"/>
  <c r="H19" i="7"/>
  <c r="H12" i="12" s="1"/>
  <c r="H25" i="12"/>
  <c r="N15" i="8"/>
  <c r="E23" i="20"/>
  <c r="B19" i="2"/>
  <c r="C19" i="2" s="1"/>
  <c r="Q23" i="32"/>
  <c r="P34" i="12"/>
  <c r="O34" i="12"/>
  <c r="F80" i="14"/>
  <c r="F82" i="14" s="1"/>
  <c r="F97" i="14" s="1"/>
  <c r="F98" i="14" s="1"/>
  <c r="I6" i="12"/>
  <c r="I25" i="12"/>
  <c r="I27" i="7"/>
  <c r="I13" i="12"/>
  <c r="I19" i="12" s="1"/>
  <c r="I19" i="7"/>
  <c r="I12" i="12" s="1"/>
  <c r="I21" i="12"/>
  <c r="E8" i="20"/>
  <c r="E28" i="20" s="1"/>
  <c r="G8" i="19"/>
  <c r="G11" i="19" s="1"/>
  <c r="J25" i="12"/>
  <c r="J21" i="12"/>
  <c r="J13" i="12"/>
  <c r="J19" i="12" s="1"/>
  <c r="J19" i="7"/>
  <c r="J12" i="12" s="1"/>
  <c r="J6" i="12"/>
  <c r="G80" i="14"/>
  <c r="G82" i="14" s="1"/>
  <c r="G97" i="14" s="1"/>
  <c r="G98" i="14" s="1"/>
  <c r="J27" i="7"/>
  <c r="K38" i="23"/>
  <c r="K29" i="23" s="1"/>
  <c r="K30" i="23" s="1"/>
  <c r="K44" i="23" s="1"/>
  <c r="L45" i="23" s="1"/>
  <c r="G12" i="19" l="1"/>
  <c r="E34" i="15" s="1"/>
  <c r="G37" i="28"/>
  <c r="H28" i="7"/>
  <c r="H14" i="12" s="1"/>
  <c r="H7" i="12"/>
  <c r="H33" i="7"/>
  <c r="H31" i="7"/>
  <c r="E31" i="20"/>
  <c r="P6" i="12"/>
  <c r="D7" i="30"/>
  <c r="D18" i="30" s="1"/>
  <c r="D4" i="30"/>
  <c r="P27" i="32"/>
  <c r="P21" i="32"/>
  <c r="O25" i="12"/>
  <c r="J6" i="16"/>
  <c r="E32" i="20"/>
  <c r="O37" i="32"/>
  <c r="B26" i="2"/>
  <c r="C26" i="2" s="1"/>
  <c r="L18" i="16"/>
  <c r="P22" i="32"/>
  <c r="I17" i="16"/>
  <c r="G18" i="16"/>
  <c r="I18" i="16" s="1"/>
  <c r="Q36" i="32"/>
  <c r="Q39" i="32" s="1"/>
  <c r="Q31" i="32"/>
  <c r="I14" i="16"/>
  <c r="J14" i="16" s="1"/>
  <c r="I15" i="16"/>
  <c r="J15" i="16" s="1"/>
  <c r="D66" i="29"/>
  <c r="P37" i="32"/>
  <c r="B7" i="3" s="1"/>
  <c r="B9" i="3" s="1"/>
  <c r="B18" i="4" s="1"/>
  <c r="I16" i="16"/>
  <c r="D37" i="18"/>
  <c r="D40" i="18" s="1"/>
  <c r="E16" i="30"/>
  <c r="C5" i="17"/>
  <c r="D37" i="15"/>
  <c r="T4" i="16"/>
  <c r="J12" i="16"/>
  <c r="F26" i="29"/>
  <c r="E78" i="18"/>
  <c r="D48" i="18"/>
  <c r="D78" i="18"/>
  <c r="E18" i="18"/>
  <c r="C48" i="18"/>
  <c r="B18" i="18"/>
  <c r="B19" i="18" s="1"/>
  <c r="F39" i="15"/>
  <c r="V13" i="16" s="1"/>
  <c r="V14" i="16" s="1"/>
  <c r="K20" i="29" s="1"/>
  <c r="F18" i="18"/>
  <c r="E39" i="15"/>
  <c r="U13" i="16" s="1"/>
  <c r="U14" i="16" s="1"/>
  <c r="J20" i="29" s="1"/>
  <c r="D18" i="18"/>
  <c r="B48" i="18"/>
  <c r="C78" i="18"/>
  <c r="B78" i="18"/>
  <c r="B79" i="18" s="1"/>
  <c r="F48" i="18"/>
  <c r="C18" i="18"/>
  <c r="E48" i="18"/>
  <c r="D39" i="15"/>
  <c r="T13" i="16" s="1"/>
  <c r="T14" i="16" s="1"/>
  <c r="I20" i="29" s="1"/>
  <c r="C39" i="15"/>
  <c r="S13" i="16" s="1"/>
  <c r="S14" i="16" s="1"/>
  <c r="H20" i="29" s="1"/>
  <c r="B47" i="15"/>
  <c r="B7" i="2" s="1"/>
  <c r="C7" i="2" s="1"/>
  <c r="B39" i="15"/>
  <c r="R13" i="16" s="1"/>
  <c r="F78" i="18"/>
  <c r="G5" i="31"/>
  <c r="F5" i="31"/>
  <c r="F6" i="31" s="1"/>
  <c r="E5" i="31"/>
  <c r="E6" i="31" s="1"/>
  <c r="D5" i="31"/>
  <c r="D6" i="31" s="1"/>
  <c r="B29" i="2"/>
  <c r="C5" i="31"/>
  <c r="C6" i="31" s="1"/>
  <c r="B5" i="31"/>
  <c r="B6" i="31" s="1"/>
  <c r="F7" i="12"/>
  <c r="F28" i="7"/>
  <c r="F14" i="12" s="1"/>
  <c r="F33" i="7"/>
  <c r="F31" i="7"/>
  <c r="J37" i="28"/>
  <c r="K33" i="7"/>
  <c r="K31" i="7"/>
  <c r="K7" i="12"/>
  <c r="K28" i="7"/>
  <c r="K14" i="12" s="1"/>
  <c r="F9" i="20"/>
  <c r="F29" i="20" s="1"/>
  <c r="H9" i="19"/>
  <c r="G9" i="20" s="1"/>
  <c r="G29" i="20" s="1"/>
  <c r="P19" i="12"/>
  <c r="O19" i="12"/>
  <c r="J5" i="16"/>
  <c r="D34" i="7"/>
  <c r="D15" i="12" s="1"/>
  <c r="D8" i="12"/>
  <c r="D23" i="12"/>
  <c r="D38" i="7"/>
  <c r="G3" i="20"/>
  <c r="C23" i="12"/>
  <c r="C38" i="7"/>
  <c r="C34" i="7"/>
  <c r="C15" i="12" s="1"/>
  <c r="C79" i="18"/>
  <c r="K37" i="28"/>
  <c r="L7" i="12"/>
  <c r="L28" i="7"/>
  <c r="L14" i="12" s="1"/>
  <c r="L33" i="7"/>
  <c r="L31" i="7"/>
  <c r="C13" i="30"/>
  <c r="F58" i="29"/>
  <c r="R10" i="16"/>
  <c r="G14" i="29" s="1"/>
  <c r="B9" i="2"/>
  <c r="C9" i="2" s="1"/>
  <c r="O13" i="12"/>
  <c r="J9" i="16"/>
  <c r="J13" i="16"/>
  <c r="I37" i="28"/>
  <c r="J33" i="7"/>
  <c r="J7" i="12"/>
  <c r="J28" i="7"/>
  <c r="J14" i="12" s="1"/>
  <c r="J31" i="7"/>
  <c r="C8" i="30"/>
  <c r="C6" i="30"/>
  <c r="D14" i="19"/>
  <c r="D15" i="19" s="1"/>
  <c r="B14" i="5"/>
  <c r="B16" i="5" s="1"/>
  <c r="S5" i="16"/>
  <c r="C19" i="18"/>
  <c r="F23" i="20"/>
  <c r="F32" i="20" s="1"/>
  <c r="O25" i="32"/>
  <c r="O31" i="32" s="1"/>
  <c r="O33" i="32" s="1"/>
  <c r="O36" i="32" s="1"/>
  <c r="O39" i="32" s="1"/>
  <c r="P25" i="32"/>
  <c r="P31" i="32" s="1"/>
  <c r="P33" i="32" s="1"/>
  <c r="P36" i="32" s="1"/>
  <c r="P39" i="32" s="1"/>
  <c r="D16" i="18"/>
  <c r="D17" i="18" s="1"/>
  <c r="D19" i="18" s="1"/>
  <c r="E15" i="18"/>
  <c r="D76" i="18"/>
  <c r="D77" i="18" s="1"/>
  <c r="D79" i="18" s="1"/>
  <c r="E75" i="18"/>
  <c r="G33" i="7"/>
  <c r="G7" i="12"/>
  <c r="P7" i="12" s="1"/>
  <c r="G28" i="7"/>
  <c r="G14" i="12" s="1"/>
  <c r="O14" i="12" s="1"/>
  <c r="G31" i="7"/>
  <c r="P13" i="12"/>
  <c r="J10" i="16"/>
  <c r="F8" i="20"/>
  <c r="F28" i="20" s="1"/>
  <c r="H8" i="19"/>
  <c r="G8" i="20" s="1"/>
  <c r="G28" i="20" s="1"/>
  <c r="D13" i="30"/>
  <c r="S10" i="16"/>
  <c r="H14" i="29" s="1"/>
  <c r="B40" i="18"/>
  <c r="B45" i="18"/>
  <c r="E39" i="7"/>
  <c r="E42" i="7"/>
  <c r="E44" i="7" s="1"/>
  <c r="E22" i="12" s="1"/>
  <c r="E24" i="12" s="1"/>
  <c r="B18" i="16"/>
  <c r="D18" i="16" s="1"/>
  <c r="D17" i="16"/>
  <c r="E17" i="16" s="1"/>
  <c r="H37" i="28"/>
  <c r="I33" i="7"/>
  <c r="I31" i="7"/>
  <c r="I7" i="12"/>
  <c r="I28" i="7"/>
  <c r="I14" i="12" s="1"/>
  <c r="C18" i="30"/>
  <c r="J7" i="16"/>
  <c r="D6" i="30"/>
  <c r="D8" i="30"/>
  <c r="E18" i="16" l="1"/>
  <c r="G38" i="7"/>
  <c r="G23" i="12"/>
  <c r="G8" i="12"/>
  <c r="G34" i="7"/>
  <c r="G15" i="12" s="1"/>
  <c r="P14" i="12"/>
  <c r="J47" i="28"/>
  <c r="J49" i="28" s="1"/>
  <c r="J53" i="28" s="1"/>
  <c r="J60" i="28" s="1"/>
  <c r="J39" i="28"/>
  <c r="J61" i="28" s="1"/>
  <c r="J16" i="16"/>
  <c r="J17" i="16"/>
  <c r="F5" i="30"/>
  <c r="E19" i="5"/>
  <c r="C9" i="30"/>
  <c r="B35" i="15" s="1"/>
  <c r="C11" i="30"/>
  <c r="L34" i="7"/>
  <c r="L15" i="12" s="1"/>
  <c r="L8" i="12"/>
  <c r="L38" i="7"/>
  <c r="L23" i="12"/>
  <c r="H11" i="19"/>
  <c r="J29" i="29"/>
  <c r="D31" i="29"/>
  <c r="B3" i="5" s="1"/>
  <c r="H23" i="12"/>
  <c r="H38" i="7"/>
  <c r="H34" i="7"/>
  <c r="H15" i="12" s="1"/>
  <c r="H8" i="12"/>
  <c r="I39" i="28"/>
  <c r="I61" i="28" s="1"/>
  <c r="I47" i="28"/>
  <c r="I49" i="28" s="1"/>
  <c r="I53" i="28" s="1"/>
  <c r="I60" i="28" s="1"/>
  <c r="F31" i="20"/>
  <c r="O7" i="12"/>
  <c r="G23" i="20"/>
  <c r="G32" i="20" s="1"/>
  <c r="G31" i="20"/>
  <c r="F38" i="7"/>
  <c r="N4" i="16" s="1" a="1"/>
  <c r="F8" i="12"/>
  <c r="F23" i="12"/>
  <c r="P23" i="12" s="1"/>
  <c r="F34" i="7"/>
  <c r="F15" i="12" s="1"/>
  <c r="E76" i="18"/>
  <c r="E77" i="18" s="1"/>
  <c r="E79" i="18" s="1"/>
  <c r="F75" i="18"/>
  <c r="F76" i="18" s="1"/>
  <c r="F77" i="18" s="1"/>
  <c r="D39" i="7"/>
  <c r="D42" i="7"/>
  <c r="D44" i="7" s="1"/>
  <c r="D22" i="12" s="1"/>
  <c r="D24" i="12" s="1"/>
  <c r="G6" i="31"/>
  <c r="C3" i="5"/>
  <c r="D3" i="5" s="1"/>
  <c r="F3" i="5" s="1"/>
  <c r="I8" i="12"/>
  <c r="O8" i="12" s="1"/>
  <c r="I23" i="12"/>
  <c r="I38" i="7"/>
  <c r="I34" i="7"/>
  <c r="I15" i="12" s="1"/>
  <c r="C45" i="18"/>
  <c r="K47" i="28"/>
  <c r="K49" i="28" s="1"/>
  <c r="K53" i="28" s="1"/>
  <c r="K60" i="28" s="1"/>
  <c r="K39" i="28"/>
  <c r="E13" i="30"/>
  <c r="T10" i="16"/>
  <c r="I14" i="29" s="1"/>
  <c r="G47" i="28"/>
  <c r="G49" i="28" s="1"/>
  <c r="G39" i="28"/>
  <c r="E16" i="18"/>
  <c r="E17" i="18" s="1"/>
  <c r="E19" i="18" s="1"/>
  <c r="F15" i="18"/>
  <c r="F16" i="18" s="1"/>
  <c r="F17" i="18" s="1"/>
  <c r="D11" i="30"/>
  <c r="D9" i="30"/>
  <c r="C35" i="15" s="1"/>
  <c r="H47" i="28"/>
  <c r="H49" i="28" s="1"/>
  <c r="H53" i="28" s="1"/>
  <c r="H39" i="28"/>
  <c r="H61" i="28" s="1"/>
  <c r="T5" i="16"/>
  <c r="E14" i="19"/>
  <c r="E15" i="19" s="1"/>
  <c r="C14" i="5"/>
  <c r="C16" i="5" s="1"/>
  <c r="J23" i="12"/>
  <c r="J34" i="7"/>
  <c r="J15" i="12" s="1"/>
  <c r="J8" i="12"/>
  <c r="J38" i="7"/>
  <c r="R14" i="16"/>
  <c r="G20" i="29" s="1"/>
  <c r="R18" i="16"/>
  <c r="B18" i="2"/>
  <c r="C18" i="2" s="1"/>
  <c r="N8" i="33"/>
  <c r="O8" i="33" s="1"/>
  <c r="P8" i="33"/>
  <c r="Q8" i="33" s="1"/>
  <c r="B6" i="3"/>
  <c r="P15" i="12"/>
  <c r="O15" i="12"/>
  <c r="C44" i="7"/>
  <c r="C22" i="12" s="1"/>
  <c r="C42" i="7"/>
  <c r="K34" i="7"/>
  <c r="K15" i="12" s="1"/>
  <c r="K23" i="12"/>
  <c r="K8" i="12"/>
  <c r="K38" i="7"/>
  <c r="J18" i="16"/>
  <c r="E5" i="30"/>
  <c r="E33" i="20"/>
  <c r="D19" i="5"/>
  <c r="E3" i="30"/>
  <c r="D15" i="5"/>
  <c r="F16" i="30"/>
  <c r="U4" i="16"/>
  <c r="E37" i="18"/>
  <c r="E40" i="18" s="1"/>
  <c r="C6" i="17"/>
  <c r="E37" i="15"/>
  <c r="N12" i="16" l="1"/>
  <c r="N9" i="16"/>
  <c r="N13" i="16"/>
  <c r="O13" i="16" s="1"/>
  <c r="N11" i="16"/>
  <c r="O11" i="16" s="1"/>
  <c r="N4" i="16"/>
  <c r="N8" i="16"/>
  <c r="O8" i="16" s="1"/>
  <c r="N6" i="16"/>
  <c r="N5" i="16"/>
  <c r="N10" i="16"/>
  <c r="N7" i="16"/>
  <c r="R6" i="16"/>
  <c r="R7" i="16" s="1"/>
  <c r="B38" i="18"/>
  <c r="B46" i="18" s="1"/>
  <c r="B47" i="18" s="1"/>
  <c r="B49" i="18" s="1"/>
  <c r="C8" i="17"/>
  <c r="O23" i="12"/>
  <c r="F13" i="30"/>
  <c r="U10" i="16"/>
  <c r="J14" i="29" s="1"/>
  <c r="C24" i="12"/>
  <c r="F3" i="30"/>
  <c r="E15" i="5"/>
  <c r="I29" i="29"/>
  <c r="L29" i="29"/>
  <c r="H29" i="29"/>
  <c r="K29" i="29"/>
  <c r="E6" i="30"/>
  <c r="E8" i="30"/>
  <c r="F57" i="29"/>
  <c r="K61" i="28"/>
  <c r="I63" i="28"/>
  <c r="H12" i="19"/>
  <c r="F34" i="15" s="1"/>
  <c r="F33" i="20"/>
  <c r="L39" i="7"/>
  <c r="L42" i="7"/>
  <c r="L44" i="7" s="1"/>
  <c r="L22" i="12" s="1"/>
  <c r="L24" i="12" s="1"/>
  <c r="M39" i="7"/>
  <c r="B24" i="18"/>
  <c r="B25" i="18" s="1"/>
  <c r="B26" i="18" s="1"/>
  <c r="F19" i="18"/>
  <c r="B27" i="18" s="1"/>
  <c r="F39" i="7"/>
  <c r="F42" i="7"/>
  <c r="F44" i="7" s="1"/>
  <c r="F22" i="12" s="1"/>
  <c r="D45" i="18"/>
  <c r="D16" i="5"/>
  <c r="K56" i="28"/>
  <c r="F56" i="29" s="1"/>
  <c r="K55" i="28"/>
  <c r="F55" i="29" s="1"/>
  <c r="H60" i="28"/>
  <c r="H63" i="28" s="1"/>
  <c r="G3" i="30"/>
  <c r="F15" i="5"/>
  <c r="H39" i="7"/>
  <c r="H44" i="7"/>
  <c r="H22" i="12" s="1"/>
  <c r="H24" i="12" s="1"/>
  <c r="H42" i="7"/>
  <c r="R20" i="16"/>
  <c r="B15" i="2"/>
  <c r="C15" i="2" s="1"/>
  <c r="F14" i="19"/>
  <c r="F15" i="19" s="1"/>
  <c r="U5" i="16"/>
  <c r="D14" i="5"/>
  <c r="K63" i="28"/>
  <c r="K44" i="7"/>
  <c r="K22" i="12" s="1"/>
  <c r="K24" i="12" s="1"/>
  <c r="K39" i="7"/>
  <c r="K42" i="7"/>
  <c r="P8" i="12"/>
  <c r="F6" i="30"/>
  <c r="J42" i="7"/>
  <c r="J44" i="7" s="1"/>
  <c r="J22" i="12" s="1"/>
  <c r="J24" i="12" s="1"/>
  <c r="J39" i="7"/>
  <c r="E4" i="30"/>
  <c r="E7" i="30"/>
  <c r="E18" i="30" s="1"/>
  <c r="C38" i="18"/>
  <c r="C46" i="18" s="1"/>
  <c r="C47" i="18" s="1"/>
  <c r="C49" i="18" s="1"/>
  <c r="S6" i="16"/>
  <c r="S7" i="16" s="1"/>
  <c r="C9" i="17"/>
  <c r="I39" i="7"/>
  <c r="I42" i="7"/>
  <c r="I44" i="7" s="1"/>
  <c r="I22" i="12" s="1"/>
  <c r="I24" i="12" s="1"/>
  <c r="G5" i="30"/>
  <c r="G33" i="20"/>
  <c r="F19" i="5"/>
  <c r="G44" i="7"/>
  <c r="G22" i="12" s="1"/>
  <c r="G24" i="12" s="1"/>
  <c r="G39" i="7"/>
  <c r="G42" i="7"/>
  <c r="D14" i="30"/>
  <c r="D15" i="30" s="1"/>
  <c r="F79" i="18"/>
  <c r="B87" i="18" s="1"/>
  <c r="B84" i="18"/>
  <c r="B85" i="18" s="1"/>
  <c r="B86" i="18" s="1"/>
  <c r="C14" i="30"/>
  <c r="C15" i="30"/>
  <c r="J63" i="28"/>
  <c r="F24" i="12" l="1"/>
  <c r="P22" i="12"/>
  <c r="O22" i="12"/>
  <c r="D3" i="31"/>
  <c r="D7" i="31" s="1"/>
  <c r="D17" i="30"/>
  <c r="O5" i="16"/>
  <c r="O6" i="16"/>
  <c r="E45" i="18"/>
  <c r="F7" i="30"/>
  <c r="F4" i="30"/>
  <c r="G8" i="29"/>
  <c r="G12" i="29" s="1"/>
  <c r="G16" i="29" s="1"/>
  <c r="R9" i="16"/>
  <c r="R11" i="16" s="1"/>
  <c r="R15" i="16" s="1"/>
  <c r="G22" i="29" s="1"/>
  <c r="B18" i="5"/>
  <c r="B20" i="5" s="1"/>
  <c r="N14" i="16"/>
  <c r="O14" i="16" s="1"/>
  <c r="N15" i="16"/>
  <c r="O15" i="16" s="1"/>
  <c r="N16" i="16"/>
  <c r="O16" i="16" s="1"/>
  <c r="N17" i="16"/>
  <c r="O17" i="16" s="1"/>
  <c r="N18" i="16"/>
  <c r="O18" i="16" s="1"/>
  <c r="G6" i="30"/>
  <c r="H8" i="29"/>
  <c r="H12" i="29" s="1"/>
  <c r="H16" i="29" s="1"/>
  <c r="C18" i="5"/>
  <c r="C20" i="5" s="1"/>
  <c r="S9" i="16"/>
  <c r="S11" i="16" s="1"/>
  <c r="S15" i="16" s="1"/>
  <c r="H22" i="29" s="1"/>
  <c r="G14" i="19"/>
  <c r="G15" i="19" s="1"/>
  <c r="E14" i="5"/>
  <c r="E16" i="5" s="1"/>
  <c r="G7" i="30"/>
  <c r="G4" i="30"/>
  <c r="P24" i="12"/>
  <c r="O24" i="12"/>
  <c r="C3" i="31"/>
  <c r="C7" i="31" s="1"/>
  <c r="C17" i="30"/>
  <c r="K66" i="28"/>
  <c r="K65" i="28"/>
  <c r="E11" i="30"/>
  <c r="E9" i="30"/>
  <c r="D35" i="15" s="1"/>
  <c r="B88" i="18"/>
  <c r="B89" i="18" s="1"/>
  <c r="G16" i="30"/>
  <c r="F37" i="15"/>
  <c r="F37" i="18"/>
  <c r="F40" i="18" s="1"/>
  <c r="C7" i="17"/>
  <c r="V4" i="16"/>
  <c r="V5" i="16" s="1"/>
  <c r="O7" i="16"/>
  <c r="O9" i="16"/>
  <c r="B28" i="18"/>
  <c r="B29" i="18" s="1"/>
  <c r="O10" i="16"/>
  <c r="O12" i="16"/>
  <c r="H14" i="19" l="1"/>
  <c r="H15" i="19" s="1"/>
  <c r="F14" i="5"/>
  <c r="F16" i="5" s="1"/>
  <c r="G18" i="30"/>
  <c r="G8" i="30"/>
  <c r="B90" i="18"/>
  <c r="L5" i="18" s="1"/>
  <c r="K5" i="18"/>
  <c r="N11" i="33" s="1"/>
  <c r="G13" i="30"/>
  <c r="V10" i="16"/>
  <c r="K14" i="29" s="1"/>
  <c r="K3" i="18"/>
  <c r="B30" i="18"/>
  <c r="L3" i="18" s="1"/>
  <c r="F18" i="30"/>
  <c r="F8" i="30"/>
  <c r="E14" i="30"/>
  <c r="E15" i="30"/>
  <c r="F45" i="18"/>
  <c r="T6" i="16"/>
  <c r="T7" i="16" s="1"/>
  <c r="C10" i="17"/>
  <c r="D38" i="18"/>
  <c r="D46" i="18" s="1"/>
  <c r="D47" i="18" s="1"/>
  <c r="D49" i="18" s="1"/>
  <c r="I8" i="29" l="1"/>
  <c r="I12" i="29" s="1"/>
  <c r="I16" i="29" s="1"/>
  <c r="T9" i="16"/>
  <c r="T11" i="16" s="1"/>
  <c r="T15" i="16" s="1"/>
  <c r="I22" i="29" s="1"/>
  <c r="D18" i="5"/>
  <c r="D20" i="5" s="1"/>
  <c r="N9" i="33"/>
  <c r="B35" i="2"/>
  <c r="F9" i="30"/>
  <c r="E35" i="15" s="1"/>
  <c r="F11" i="30"/>
  <c r="B22" i="2"/>
  <c r="C22" i="2" s="1"/>
  <c r="G9" i="30"/>
  <c r="F35" i="15" s="1"/>
  <c r="G11" i="30"/>
  <c r="E3" i="31"/>
  <c r="E7" i="31" s="1"/>
  <c r="E17" i="30"/>
  <c r="Q11" i="33"/>
  <c r="P11" i="33"/>
  <c r="O11" i="33"/>
  <c r="C11" i="17" l="1"/>
  <c r="E38" i="18"/>
  <c r="E46" i="18" s="1"/>
  <c r="E47" i="18" s="1"/>
  <c r="E49" i="18" s="1"/>
  <c r="U6" i="16"/>
  <c r="U7" i="16" s="1"/>
  <c r="F38" i="18"/>
  <c r="F46" i="18" s="1"/>
  <c r="F47" i="18" s="1"/>
  <c r="C12" i="17"/>
  <c r="V6" i="16"/>
  <c r="Q9" i="33"/>
  <c r="P9" i="33"/>
  <c r="O9" i="33"/>
  <c r="G14" i="30"/>
  <c r="G15" i="30" s="1"/>
  <c r="G11" i="31"/>
  <c r="G12" i="31" s="1"/>
  <c r="G13" i="31" s="1"/>
  <c r="F14" i="30"/>
  <c r="F15" i="30"/>
  <c r="G3" i="31" l="1"/>
  <c r="G7" i="31" s="1"/>
  <c r="G17" i="30"/>
  <c r="D64" i="29"/>
  <c r="V7" i="16"/>
  <c r="G14" i="31"/>
  <c r="C5" i="5"/>
  <c r="B54" i="18"/>
  <c r="B55" i="18" s="1"/>
  <c r="B56" i="18" s="1"/>
  <c r="F49" i="18"/>
  <c r="B57" i="18" s="1"/>
  <c r="F3" i="31"/>
  <c r="F7" i="31" s="1"/>
  <c r="F17" i="30"/>
  <c r="J8" i="29"/>
  <c r="J12" i="29" s="1"/>
  <c r="J16" i="29" s="1"/>
  <c r="U9" i="16"/>
  <c r="U11" i="16" s="1"/>
  <c r="U15" i="16" s="1"/>
  <c r="J22" i="29" s="1"/>
  <c r="E18" i="5"/>
  <c r="E20" i="5" s="1"/>
  <c r="B58" i="18" l="1"/>
  <c r="B59" i="18" s="1"/>
  <c r="K8" i="29"/>
  <c r="K12" i="29" s="1"/>
  <c r="K16" i="29" s="1"/>
  <c r="V9" i="16"/>
  <c r="V11" i="16" s="1"/>
  <c r="V15" i="16" s="1"/>
  <c r="K22" i="29" s="1"/>
  <c r="F18" i="5"/>
  <c r="F20" i="5" s="1"/>
  <c r="D39" i="29"/>
  <c r="G15" i="31"/>
  <c r="G22" i="31" s="1"/>
  <c r="D30" i="29" l="1"/>
  <c r="D34" i="29" s="1"/>
  <c r="H32" i="29"/>
  <c r="I30" i="29"/>
  <c r="J32" i="29"/>
  <c r="L30" i="29"/>
  <c r="I34" i="29"/>
  <c r="H31" i="29"/>
  <c r="I33" i="29"/>
  <c r="H30" i="29"/>
  <c r="I32" i="29"/>
  <c r="L31" i="29"/>
  <c r="K34" i="29"/>
  <c r="K33" i="29"/>
  <c r="L34" i="29"/>
  <c r="L32" i="29"/>
  <c r="L33" i="29"/>
  <c r="J31" i="29"/>
  <c r="H34" i="29"/>
  <c r="K32" i="29"/>
  <c r="J30" i="29"/>
  <c r="J33" i="29"/>
  <c r="K30" i="29"/>
  <c r="J34" i="29"/>
  <c r="I31" i="29"/>
  <c r="H33" i="29"/>
  <c r="K31" i="29"/>
  <c r="C6" i="5"/>
  <c r="G19" i="31"/>
  <c r="B60" i="18"/>
  <c r="L4" i="18" s="1"/>
  <c r="K4" i="18"/>
  <c r="N10" i="33" s="1"/>
  <c r="O10" i="33" l="1"/>
  <c r="Q10" i="33"/>
  <c r="P10" i="33"/>
  <c r="C7" i="5"/>
  <c r="G21" i="31"/>
  <c r="B24" i="2"/>
  <c r="C24" i="2" s="1"/>
  <c r="D63" i="29"/>
  <c r="D65" i="29" s="1"/>
  <c r="D40" i="29"/>
  <c r="B5" i="5"/>
  <c r="D5" i="5" s="1"/>
  <c r="F5" i="5" s="1"/>
  <c r="G24" i="31" l="1"/>
  <c r="B25" i="2"/>
  <c r="C25" i="2" s="1"/>
  <c r="C8" i="5"/>
  <c r="B16" i="4"/>
  <c r="B4" i="3"/>
  <c r="D67" i="29"/>
  <c r="B14" i="2"/>
  <c r="C14" i="2" s="1"/>
  <c r="B12" i="2"/>
  <c r="C12" i="2" s="1"/>
  <c r="D41" i="29"/>
  <c r="D45" i="29" l="1"/>
  <c r="B6" i="5"/>
  <c r="D6" i="5" s="1"/>
  <c r="F6" i="5" s="1"/>
  <c r="D48" i="29" l="1"/>
  <c r="B7" i="5"/>
  <c r="D7" i="5" s="1"/>
  <c r="F7" i="5" s="1"/>
  <c r="D51" i="29" l="1"/>
  <c r="B8" i="5"/>
  <c r="D8" i="5" s="1"/>
  <c r="F8" i="5" s="1"/>
  <c r="B13" i="2"/>
  <c r="C13" i="2" s="1"/>
  <c r="B30" i="2"/>
  <c r="B15" i="4"/>
  <c r="B3" i="3"/>
  <c r="B5" i="3" s="1"/>
  <c r="B12" i="3" l="1"/>
  <c r="B17" i="4"/>
  <c r="B19" i="4" l="1"/>
  <c r="B14" i="3"/>
  <c r="B2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72" authorId="0" shapeId="0" xr:uid="{00000000-0006-0000-0600-000001000000}">
      <text>
        <r>
          <rPr>
            <sz val="10"/>
            <rFont val="Arial"/>
            <family val="2"/>
          </rPr>
          <t>FIXED: was '=IFERROR('cash flow data'!#ref!,0)' -- a broken reference left over from the source template. This line item is not separately reported in Infosys's actual cash flow statement (Infosys is asset-light and largely debt-free), so it is genuinely nil rather than missing data. Set to 0.</t>
        </r>
      </text>
    </comment>
    <comment ref="C81" authorId="0" shapeId="0" xr:uid="{00000000-0006-0000-0600-000002000000}">
      <text>
        <r>
          <rPr>
            <sz val="10"/>
            <rFont val="Arial"/>
            <family val="2"/>
          </rPr>
          <t>FIXED: was '=IFERROR('cash flow data'!#ref!,0)' -- a broken reference left over from the source template. This line item is not separately reported in Infosys's actual cash flow statement (Infosys is asset-light and largely debt-free), so it is genuinely nil rather than missing data. Set to 0.</t>
        </r>
      </text>
    </comment>
    <comment ref="C86" authorId="0" shapeId="0" xr:uid="{00000000-0006-0000-0600-000003000000}">
      <text>
        <r>
          <rPr>
            <sz val="10"/>
            <rFont val="Arial"/>
            <family val="2"/>
          </rPr>
          <t>FIXED: was '=IFERROR('cash flow data'!#ref!,0)' -- a broken reference left over from the source template. This line item is not separately reported in Infosys's actual cash flow statement (Infosys is asset-light and largely debt-free), so it is genuinely nil rather than missing data. Set to 0.</t>
        </r>
      </text>
    </comment>
    <comment ref="C94" authorId="0" shapeId="0" xr:uid="{00000000-0006-0000-0600-000004000000}">
      <text>
        <r>
          <rPr>
            <sz val="10"/>
            <rFont val="Arial"/>
            <family val="2"/>
          </rPr>
          <t>FIXED: was '=IFERROR('cash flow data'!#ref!,0)' -- a broken reference left over from the source template. This line item is not separately reported in Infosys's actual cash flow statement (Infosys is asset-light and largely debt-free), so it is genuinely nil rather than missing data. Set to 0.</t>
        </r>
      </text>
    </comment>
    <comment ref="C96" authorId="0" shapeId="0" xr:uid="{00000000-0006-0000-0600-000005000000}">
      <text>
        <r>
          <rPr>
            <sz val="10"/>
            <rFont val="Arial"/>
            <family val="2"/>
          </rPr>
          <t>FIXED: was '=IFERROR('cash flow data'!#ref!,0)' -- a broken reference left over from the source template. This line item is not separately reported in Infosys's actual cash flow statement (Infosys is asset-light and largely debt-free), so it is genuinely nil rather than missing data. Set to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B00-000001000000}">
      <text>
        <r>
          <rPr>
            <sz val="10"/>
            <rFont val="Arial"/>
            <family val="2"/>
          </rPr>
          <t>FIXED: was '#DIV/0!' -- Infosys reported ~0 interest expense in FY2017-19 (near-debt-free), making interest coverage undefined rather than an error. Wrapped in IFERROR to show 'NM' (not meaningful).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1" authorId="0" shapeId="0" xr:uid="{00000000-0006-0000-0E00-000001000000}">
      <text>
        <r>
          <rPr>
            <sz val="10"/>
            <rFont val="Arial"/>
            <family val="2"/>
          </rPr>
          <t>FY26 segment revenue verified to Infosys FY26 Annual Report, Business segments.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R10" authorId="0" shapeId="0" xr:uid="{00000000-0006-0000-0F00-000001000000}">
      <text>
        <r>
          <rPr>
            <sz val="10"/>
            <rFont val="Arial"/>
            <family val="2"/>
          </rPr>
          <t>FIXED: was a generic flat 28%, inconsistent with the model's own cross-check tab (DCF&gt;!F55:F60): at 28% reinvestment and FY26 ROIC ~48.4%, implied sustainable growth was ~13.6%, far above the 2.25% growth now assumed. Reset using the model's own formula (Reinvestment Rate = Growth / ROIC = 2.25% / 48.4% ~ 4.6%, rounded to 5%) so growth and reinvestment are internally consistent. Infosys is asset-light (capex/NWC needs are low relative to NOPAT), so a low reinvestment rate is directionally correct, not just a plug.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7" authorId="0" shapeId="0" xr:uid="{00000000-0006-0000-1200-000001000000}">
      <text>
        <r>
          <rPr>
            <sz val="10"/>
            <rFont val="Arial"/>
            <family val="2"/>
          </rPr>
          <t>Source: Infosys Integrated Annual Report 2025-26, Business segments, p. 387.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8" authorId="0" shapeId="0" xr:uid="{00000000-0006-0000-1C00-000001000000}">
      <text>
        <r>
          <rPr>
            <sz val="10"/>
            <rFont val="Arial"/>
            <family val="2"/>
          </rPr>
          <t>FY26 base EBIT = normalized operating profit (reported Rs 36,254 cr + Rs 1,289 cr one-off labour-code provision = Rs 37,543 cr). Uses the normalized figure so the base year is on the same basis as the normalized-margin forecast and matches the Integrated build ('Integrated Operating Model'!B8). Source: Normalization Bridge!B5. Base year is not discounted; this does not affect the valuation.</t>
        </r>
      </text>
    </comment>
    <comment ref="F10" authorId="0" shapeId="0" xr:uid="{00000000-0006-0000-1C00-000002000000}">
      <text>
        <r>
          <rPr>
            <sz val="10"/>
            <rFont val="Arial"/>
            <family val="2"/>
          </rPr>
          <t>FIXED / DECOUPLED: was '=WACC!$E$28' (25.17%, the Sec. 115BAA statutory rate — correct for the cost-of-debt tax shield in the WACC tab, but not what Infosys actually pays on operating income). Infosys guided FY27 EFFECTIVE tax rate of 29-30% (Q4 FY26 earnings call, Apr 2026). Set to guidance midpoint (29.5%), now hardcoded and independent of the WACC tab's statutory-rate assumption.</t>
        </r>
      </text>
    </comment>
    <comment ref="F14" authorId="0" shapeId="0" xr:uid="{00000000-0006-0000-1C00-000003000000}">
      <text>
        <r>
          <rPr>
            <sz val="10"/>
            <rFont val="Arial"/>
            <family val="2"/>
          </rPr>
          <t>Base year (FY26 actual): no forward reinvestment assumption (0), matching the Integrated build ('Integrated Operating Model'!B13 = 0). Previously this cell borrowed FY27's reinvestment rate. Base-year FCFF is display-only and is not discounted, so this does not affect the valuation.</t>
        </r>
      </text>
    </comment>
    <comment ref="G16" authorId="0" shapeId="0" xr:uid="{00000000-0006-0000-1C00-000005000000}">
      <text>
        <r>
          <rPr>
            <sz val="10"/>
            <rFont val="Arial"/>
            <family val="2"/>
          </rPr>
          <t>FCFF = NOPAT x (1 - reinvestment rate), computed in-sheet from row 12 (EBIT(1-T)) and row 14 (reinvestment rate) for every forecast year, so the whole FCFF row uses one consistent method. Values are identical to the prior Forecasting!R11:V11 links (same driver engine).</t>
        </r>
      </text>
    </comment>
    <comment ref="F24" authorId="0" shapeId="0" xr:uid="{00000000-0006-0000-1C00-000004000000}">
      <text>
        <r>
          <rPr>
            <sz val="10"/>
            <rFont val="Arial"/>
            <family val="2"/>
          </rPr>
          <t>FIXED: was a generic 5% assumption, not tied to guidance. Infosys FY27 guidance is 1.5%-3.0% CC revenue growth (Q1 FY27 results, Jul 2026). Set to guidance midpoint (2.25%) as the base case. Flex this cell for bear (1.5%) / bull (3.0%) scenarios.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P12" authorId="0" shapeId="0" xr:uid="{00000000-0006-0000-1F00-000002000000}">
      <text>
        <r>
          <rPr>
            <sz val="10"/>
            <rFont val="Arial"/>
            <family val="2"/>
          </rPr>
          <t>Fixed: previously =H$11/L12 (and same pattern through P20) — the numerator was pinned to Tata Steel's own Enterprise Value (row 11, absolute row reference) for every peer instead of each peer's own EV, unlike columns O and Q which were correctly row-relative. Changed to =H12/L12 (and down), removing the row anchor so each row divides by its own EV.</t>
        </r>
      </text>
    </comment>
    <comment ref="O22" authorId="0" shapeId="0" xr:uid="{00000000-0006-0000-1F00-000001000000}">
      <text>
        <r>
          <rPr>
            <sz val="10"/>
            <rFont val="Arial"/>
            <family val="2"/>
          </rPr>
          <t>Fixed: stat block (High/75th/Average/Median/25th/Low) previously ran over rows 11:20, which included Tata Steel itself (row 11) inside its own comparable peer set — circular, and biased the benchmark multiple toward Tata Steel's own multiple. Ranges changed to 12:20 (peers only) across O, P, and Q for all six statistics in this block.</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N12" authorId="0" shapeId="0" xr:uid="{00000000-0006-0000-2000-000001000000}">
      <text>
        <r>
          <rPr>
            <sz val="10"/>
            <rFont val="Arial"/>
            <family val="2"/>
          </rPr>
          <t>FIXED: was 153.1/224.4 -- Tata Steel's actual 52-week low/high, left over from the source template and feeding directly into this chart. Infosys's actual 52-week range is INR 982.40-1,728.00 (multiple sources, Aug 2026).</t>
        </r>
      </text>
    </comment>
  </commentList>
</comments>
</file>

<file path=xl/sharedStrings.xml><?xml version="1.0" encoding="utf-8"?>
<sst xmlns="http://schemas.openxmlformats.org/spreadsheetml/2006/main" count="1460" uniqueCount="883">
  <si>
    <t>INFOSYS LTD - Model Checks &amp; Audit Dashboard</t>
  </si>
  <si>
    <t>Green = pass; red = review. Checks are formula-driven and intended to catch linkage, assumption and valuation-consistency issues.</t>
  </si>
  <si>
    <t>Core Checks</t>
  </si>
  <si>
    <t>Check</t>
  </si>
  <si>
    <t>Result</t>
  </si>
  <si>
    <t>Status</t>
  </si>
  <si>
    <t>Comment</t>
  </si>
  <si>
    <t>Historical balance sheet balances</t>
  </si>
  <si>
    <t>HistoricalFS check should be TRUE in every year</t>
  </si>
  <si>
    <t>Terminal growth below WACC</t>
  </si>
  <si>
    <t>Terminal g must remain below WACC</t>
  </si>
  <si>
    <t>Terminal reinvestment formula</t>
  </si>
  <si>
    <t>Terminal reinvestment = g / terminal ROIC</t>
  </si>
  <si>
    <t>FY27 reinvestment formula</t>
  </si>
  <si>
    <t>Explicit reinvestment = growth / target ROIC</t>
  </si>
  <si>
    <t>DCF tax linked to normalized effective tax</t>
  </si>
  <si>
    <t>DCF FCFF tax should use the normalized 29.5% effective tax assumption.</t>
  </si>
  <si>
    <t>WACC tax shield rate separately defined</t>
  </si>
  <si>
    <t>WACC debt tax shield uses the separately defined marginal/statutory tax rate.</t>
  </si>
  <si>
    <t>DCF terminal discount uses 4.5 years</t>
  </si>
  <si>
    <t>Mid-year explicit forecast ends at 4.5 years</t>
  </si>
  <si>
    <t>DCF base agrees with scenario base</t>
  </si>
  <si>
    <t>Base scenario should reconcile to main DCF within ₹1/share</t>
  </si>
  <si>
    <t>Terminal value multiple check</t>
  </si>
  <si>
    <t>Terminal-value implied EV/EBITDA is a diagnostic only; compare with the core-peer median and do not treat it as an exit-multiple input.</t>
  </si>
  <si>
    <t>No terminal growth error</t>
  </si>
  <si>
    <t>Forecasting terminal-growth check should pass</t>
  </si>
  <si>
    <t>Forecast tax rate consistent across FY27-FY31</t>
  </si>
  <si>
    <t>All explicit DCF forecast years use the normalized effective tax rate.</t>
  </si>
  <si>
    <t>Segment-weighted growth ties to top-down total (internal tie, not a guidance check)</t>
  </si>
  <si>
    <t>Internal segment-to-total tie: FY27 weighted segment growth is definitionally close to the top-down base growth because both derive from the same segment total. It does NOT test against company CC guidance (see Operating Drivers!D29 for that comparison, 2.458% model vs 2.25% guidance midpoint, ~21bps gap, shown for context but not wired into this dashboard).</t>
  </si>
  <si>
    <t>Segment FY27-FY31 links reconcile</t>
  </si>
  <si>
    <t>All forecast segment years must link to the matching year.</t>
  </si>
  <si>
    <t>All Other segment is linked</t>
  </si>
  <si>
    <t>All Other should not have a separate hardcoded growth engine.</t>
  </si>
  <si>
    <t>Weighted FY27 growth uses FY26 weights</t>
  </si>
  <si>
    <t>Cross-check uses FY26 segment revenue weights.</t>
  </si>
  <si>
    <t>Corporate cost bridge anchored to FY26 normalization</t>
  </si>
  <si>
    <t>FY26 normalized corporate/unallocated costs are explicit.</t>
  </si>
  <si>
    <t>Integrated EBIT bridge</t>
  </si>
  <si>
    <t>Consolidated EBIT = segment operating income - corporate/unallocated costs.</t>
  </si>
  <si>
    <t>Integrated DCF terminal assumptions linked</t>
  </si>
  <si>
    <t>Integrated DCF terminal inputs have one source of truth.</t>
  </si>
  <si>
    <t>Integrated equity bridge</t>
  </si>
  <si>
    <t>Equity value = enterprise value - net debt.</t>
  </si>
  <si>
    <t>Integrated per-share bridge</t>
  </si>
  <si>
    <t>Intrinsic value/share recomputes from equity value and shares.</t>
  </si>
  <si>
    <t>Core peer median populated</t>
  </si>
  <si>
    <t>Core peer set is separately identified from extended peers.</t>
  </si>
  <si>
    <t>Beta data freshness flagged</t>
  </si>
  <si>
    <t>Beta window runs through the last available weekly close before the 22-Aug-2026 valuation date; weekly series refreshed through the week of 18-Aug-2026 (last observation 16-Aug-2026).</t>
  </si>
  <si>
    <t>Key Outputs</t>
  </si>
  <si>
    <t>WACC</t>
  </si>
  <si>
    <t>DCF Value / Share</t>
  </si>
  <si>
    <t>Current Price</t>
  </si>
  <si>
    <t>Terminal Growth</t>
  </si>
  <si>
    <t>Terminal ROIC</t>
  </si>
  <si>
    <t>Terminal Reinvestment</t>
  </si>
  <si>
    <t>Scenario Range</t>
  </si>
  <si>
    <t>Infosys Equity Research — Valuation Summary</t>
  </si>
  <si>
    <t>Metric</t>
  </si>
  <si>
    <t>Output / Methodology</t>
  </si>
  <si>
    <t>Legacy DCF Value / Share</t>
  </si>
  <si>
    <t>Integrated DCF Value / Share</t>
  </si>
  <si>
    <t>DCF Center</t>
  </si>
  <si>
    <t>Core EV / Revenue Value / Share</t>
  </si>
  <si>
    <t>Core EV / EBITDA Value / Share</t>
  </si>
  <si>
    <t>Core P / E Value / Share</t>
  </si>
  <si>
    <t>Primary Comps Cross-Check</t>
  </si>
  <si>
    <t>DCF Weight</t>
  </si>
  <si>
    <t>Comps Weight</t>
  </si>
  <si>
    <t>Indicative Target Price</t>
  </si>
  <si>
    <t>Current Share Price</t>
  </si>
  <si>
    <t>Upside / (Downside)</t>
  </si>
  <si>
    <t>Core Peer Set</t>
  </si>
  <si>
    <t>TCS, HCL Technologies, Wipro, Tech Mahindra, LTIMindtree</t>
  </si>
  <si>
    <t>Extended Peer Context</t>
  </si>
  <si>
    <t>Persistent Systems, Coforge, Mphasis, Hexaware</t>
  </si>
  <si>
    <t>Target methodology</t>
  </si>
  <si>
    <t>60% DCF center / 40% core-peer EV/EBITDA. DCF is primary; comps are a market-based cross-check.</t>
  </si>
  <si>
    <t>Important limitation</t>
  </si>
  <si>
    <t>Beta: the 2-year weekly regression window is refreshed through the week of 18 Aug 2026 (last observation 16 Aug 2026, the last trading week before the valuation date); the beta-freshness model check passes.</t>
  </si>
  <si>
    <t>Infosys Equity Research — Investment Thesis</t>
  </si>
  <si>
    <t>Section</t>
  </si>
  <si>
    <t>Current conclusion</t>
  </si>
  <si>
    <t>Valuation</t>
  </si>
  <si>
    <t>DCF remains below the current market valuation, while trading comps imply materially higher values. The dispersion is a research question, not something to engineer away.</t>
  </si>
  <si>
    <t>Business outlook</t>
  </si>
  <si>
    <t>FY26 revenue was ₹178,650 crore; Q1 FY27 revenue was ₹48,211 crore and Q1 FY27 operating margin was 21.1%.</t>
  </si>
  <si>
    <t>Guidance</t>
  </si>
  <si>
    <t>FY27 constant-currency revenue growth guidance is 1.5%-3.0%.</t>
  </si>
  <si>
    <t>Catalyst 1</t>
  </si>
  <si>
    <t>AI monetization and conversion of AI-led demand into higher-value services.</t>
  </si>
  <si>
    <t>Catalyst 2</t>
  </si>
  <si>
    <t>Large-deal conversion and sustained transformation/cloud/data spending.</t>
  </si>
  <si>
    <t>Catalyst 3</t>
  </si>
  <si>
    <t>Productivity and utilization improvements supporting margins.</t>
  </si>
  <si>
    <t>Risk 1</t>
  </si>
  <si>
    <t>AI pricing pressure or automation may outpace new AI revenue.</t>
  </si>
  <si>
    <t>Risk 2</t>
  </si>
  <si>
    <t>Weak discretionary IT spending and macro uncertainty.</t>
  </si>
  <si>
    <t>Risk 3</t>
  </si>
  <si>
    <t>Communications and Hi-Tech remain more exposed to sector-specific pressure.</t>
  </si>
  <si>
    <t>Key valuation drivers</t>
  </si>
  <si>
    <t>Revenue growth, EBIT margin, WACC, terminal growth and terminal ROIC.</t>
  </si>
  <si>
    <t>What would change the view</t>
  </si>
  <si>
    <t>A sustained change in growth, margins, deal conversion or AI monetization would materially change intrinsic value.</t>
  </si>
  <si>
    <t>Methodology</t>
  </si>
  <si>
    <t>DCF uses FCFF; integrated DCF is bottom-up from segment operating income less normalized corporate/unallocated costs; terminal reinvestment = terminal growth / terminal ROIC; core trading comps provide the primary market cross-check.</t>
  </si>
  <si>
    <t>Core EV/EBITDA Cross-Check</t>
  </si>
  <si>
    <t>Indicative View</t>
  </si>
  <si>
    <t>HOLD / NEUTRAL — low conviction; DCF is below market while core-peer multiples provide a higher valuation cross-check.</t>
  </si>
  <si>
    <t>Target Price Method</t>
  </si>
  <si>
    <t>60% DCF center + 40% core-peer EV/EBITDA. Core peers are used as the primary market cross-check; extended peers remain contextual.</t>
  </si>
  <si>
    <t>Legacy DCF vs Integrated DCF</t>
  </si>
  <si>
    <t>Legacy DCF</t>
  </si>
  <si>
    <t>Integrated DCF</t>
  </si>
  <si>
    <t>Difference</t>
  </si>
  <si>
    <t>Audit interpretation</t>
  </si>
  <si>
    <t>Compare after recalculation. Any remaining gap should be attributable to the top-down vs. bottom-up forecast methodology, not broken year links.</t>
  </si>
  <si>
    <t>Terminal Value</t>
  </si>
  <si>
    <t>Enterprise Value</t>
  </si>
  <si>
    <t>Equity Value</t>
  </si>
  <si>
    <t>Intrinsic Value / Share</t>
  </si>
  <si>
    <t>Forecast Comparison</t>
  </si>
  <si>
    <t>Legacy Forecast</t>
  </si>
  <si>
    <t>Integrated Forecast</t>
  </si>
  <si>
    <t>Interpretation</t>
  </si>
  <si>
    <t>FY27E</t>
  </si>
  <si>
    <t>FY28E</t>
  </si>
  <si>
    <t>FY29E</t>
  </si>
  <si>
    <t>FY30E</t>
  </si>
  <si>
    <t>FY31E</t>
  </si>
  <si>
    <t>Legacy Revenue (Rs Cr)</t>
  </si>
  <si>
    <t>Integrated (Segment) Revenue (Rs Cr)</t>
  </si>
  <si>
    <t>Revenue Difference (%)</t>
  </si>
  <si>
    <t>Legacy EBIT (Rs Cr)</t>
  </si>
  <si>
    <t>Integrated (Segment) Operating Income (Rs Cr)</t>
  </si>
  <si>
    <t>EBIT Difference (%)</t>
  </si>
  <si>
    <t>Interpretation: the integrated (bottom-up) DCF uses the FY27-FY31 segment links and an explicit corporate/unallocable cost bridge anchored to FY26 normalized EBIT. Because the top-down (Legacy) build takes its revenue growth and EBIT margin from the same segment engine, and both builds now apply the terminal (1+g) convention consistently, the two builds reconcile to the same value (~Rs 796/share). This is an internal build-integrity check, not two independent valuations. Segment operating margin is not treated as consolidated EBIT until the corporate-cost bridge is applied.</t>
  </si>
  <si>
    <t>Infosys Equity Research Model -- Methodology &amp; Audit Notes</t>
  </si>
  <si>
    <t>Purpose</t>
  </si>
  <si>
    <t>Methodology and QA reference for the Infosys Equity Research Model</t>
  </si>
  <si>
    <t>DCF forecast tax rate</t>
  </si>
  <si>
    <t>29.5% normalized effective tax rate (FCFF)</t>
  </si>
  <si>
    <t>WACC debt tax shield rate</t>
  </si>
  <si>
    <t>25.17% marginal/statutory rate (Sec. 115BAA) -- kept distinct from the 29.5% effective rate by design</t>
  </si>
  <si>
    <t>Terminal growth</t>
  </si>
  <si>
    <t>3.0% base case (2.5% bear / 3.5% bull)</t>
  </si>
  <si>
    <t>40.0% base case (35% bear / 45% bull) -- normalizes down from FY26 actual ROIC</t>
  </si>
  <si>
    <t>Terminal reinvestment</t>
  </si>
  <si>
    <t>Terminal growth / terminal ROIC = 7.5%, formula-linked, not a fixed input</t>
  </si>
  <si>
    <t>Revenue forecast basis</t>
  </si>
  <si>
    <t>Segment-driven base-case revenue growth; Integrated DCF is now bottom-up from segment operating income less a normalized corporate/unallocated cost bridge.</t>
  </si>
  <si>
    <t>EBIT margin normalization</t>
  </si>
  <si>
    <t>FY26A reported operating margin is 20.3%; FY27E onward consolidated EBIT is derived bottom-up from segment operating income less normalized unallocable/corporate costs. This produces a consolidated margin consistent with the 20%-22% company guidance range.</t>
  </si>
  <si>
    <t>Scenario design</t>
  </si>
  <si>
    <t>Bear/Base/Bull operating assumptions (revenue growth, EBIT margin, terminal inputs) flow directly into three separately computed scenario DCFs</t>
  </si>
  <si>
    <t>Cross-check design</t>
  </si>
  <si>
    <t>The single FCFF DCF is expressed through a top-down Legacy build and a bottom-up Integrated build. The Integrated build aggregates segment operating income and explicitly reconciles it to consolidated EBIT through normalized corporate/unallocated costs; the two builds are an internal build-integrity check, not independent valuations.</t>
  </si>
  <si>
    <t>Comps</t>
  </si>
  <si>
    <t>TCS, HCL Technologies, Wipro, Tech Mahindra, LTIMindtree, plus mid-cap context; independent market cross-check, not used to force the DCF</t>
  </si>
  <si>
    <t>Beta</t>
  </si>
  <si>
    <t>Peer-based unlevered beta re-levered to Infosys capital structure; 2-year weekly regression</t>
  </si>
  <si>
    <t>Model checks</t>
  </si>
  <si>
    <t>22 formula-driven checks are included and all 22 PASS. The 2-year weekly beta window is refreshed through the week of 18 Aug 2026 (last observation 16 Aug 2026), so the beta-freshness check now passes.</t>
  </si>
  <si>
    <t>Source</t>
  </si>
  <si>
    <t>Infosys FY26 Integrated Annual Report, Business Segments, p.387: segment revenue, segment operating income and unallocable expenses.</t>
  </si>
  <si>
    <t>Infosys FY26 results / FY27 guidance: 1.5%-3.0% CC revenue growth and 20%-22% operating margin.</t>
  </si>
  <si>
    <t>Deliverables</t>
  </si>
  <si>
    <t>Deliverables: Excel model + written investment note + tear sheet. Beta data is refreshed through the week of 18 Aug 2026 (last observation 16 Aug 2026), the last trading week before the 22 Aug 2026 valuation date.</t>
  </si>
  <si>
    <t>Years</t>
  </si>
  <si>
    <t>LTM</t>
  </si>
  <si>
    <t>#</t>
  </si>
  <si>
    <t>Income Statement</t>
  </si>
  <si>
    <t>Sales</t>
  </si>
  <si>
    <t>Sales Growth</t>
  </si>
  <si>
    <t>-</t>
  </si>
  <si>
    <t>COGS</t>
  </si>
  <si>
    <t>COGS % Sales</t>
  </si>
  <si>
    <t>Gross Profit</t>
  </si>
  <si>
    <t>Gross Margins</t>
  </si>
  <si>
    <t xml:space="preserve">Selling &amp; General Expenses </t>
  </si>
  <si>
    <t>S&amp;G Exp % Sales</t>
  </si>
  <si>
    <t>EBITDA</t>
  </si>
  <si>
    <t>EBITDA % Margins</t>
  </si>
  <si>
    <t>Interest</t>
  </si>
  <si>
    <t>Interest % Sales</t>
  </si>
  <si>
    <t>Depreciation</t>
  </si>
  <si>
    <t>Depreciations % Sales</t>
  </si>
  <si>
    <t>Earnings Before Tax</t>
  </si>
  <si>
    <t>EBT % Sales</t>
  </si>
  <si>
    <t>Tax</t>
  </si>
  <si>
    <t>Effective Tax Rate</t>
  </si>
  <si>
    <t>Net Profit</t>
  </si>
  <si>
    <t>Net Margins</t>
  </si>
  <si>
    <t>No of Equity Shares</t>
  </si>
  <si>
    <t>EPS</t>
  </si>
  <si>
    <t>EPS Growth %</t>
  </si>
  <si>
    <t>Dividend Per Share</t>
  </si>
  <si>
    <t>Divident payout ratio</t>
  </si>
  <si>
    <t>Retention Ratio</t>
  </si>
  <si>
    <t>Balance Sheet</t>
  </si>
  <si>
    <t>Equity Share Capital</t>
  </si>
  <si>
    <t>Reserves</t>
  </si>
  <si>
    <t>Borrowings</t>
  </si>
  <si>
    <t>Other Liabilities</t>
  </si>
  <si>
    <t>Total Liabilities</t>
  </si>
  <si>
    <t>Fixed Assets Net Block</t>
  </si>
  <si>
    <t>Capital Work in Progress</t>
  </si>
  <si>
    <t>Investments</t>
  </si>
  <si>
    <t>Other Assets</t>
  </si>
  <si>
    <t>Total Non Current Assets</t>
  </si>
  <si>
    <t>Receivables</t>
  </si>
  <si>
    <t>Inventory</t>
  </si>
  <si>
    <t>Cash &amp; Bank</t>
  </si>
  <si>
    <t>Total Current Assets</t>
  </si>
  <si>
    <t>Total Assets</t>
  </si>
  <si>
    <t>Cash Flow Statements</t>
  </si>
  <si>
    <t xml:space="preserve"> Operating Activities</t>
  </si>
  <si>
    <t>Profit from operations</t>
  </si>
  <si>
    <t>Payables</t>
  </si>
  <si>
    <t>Other WC items</t>
  </si>
  <si>
    <t>Working capital changes</t>
  </si>
  <si>
    <t>Direct taxes</t>
  </si>
  <si>
    <t>Cash from Operating Activities</t>
  </si>
  <si>
    <t>Investing Activities</t>
  </si>
  <si>
    <t>Fixed assets purchased</t>
  </si>
  <si>
    <t>Fixed assets sold</t>
  </si>
  <si>
    <t>Investments purchased</t>
  </si>
  <si>
    <t>Investments sold</t>
  </si>
  <si>
    <t>Interest received</t>
  </si>
  <si>
    <t>Dividends received</t>
  </si>
  <si>
    <t>Redemp n Canc of Shares</t>
  </si>
  <si>
    <t>Acquisition of companies</t>
  </si>
  <si>
    <t>Inter corporate deposits</t>
  </si>
  <si>
    <t>Other investing items</t>
  </si>
  <si>
    <t>Cash From Investing Activities</t>
  </si>
  <si>
    <t>Financing Activities</t>
  </si>
  <si>
    <t>Proceeds from shares</t>
  </si>
  <si>
    <t>Proceeds from borrowings</t>
  </si>
  <si>
    <t>Repayment of borrowings</t>
  </si>
  <si>
    <t>Interest paid fin</t>
  </si>
  <si>
    <t>Dividends paid</t>
  </si>
  <si>
    <t>Financial liabilities</t>
  </si>
  <si>
    <t>Other financing items</t>
  </si>
  <si>
    <t>Cash From Financing Activities</t>
  </si>
  <si>
    <t>Net Cash Flow</t>
  </si>
  <si>
    <t>Cash from Operating Activity</t>
  </si>
  <si>
    <t>Cash from Investing Activity</t>
  </si>
  <si>
    <t>Cash from Financing Activity</t>
  </si>
  <si>
    <t>UPDATE</t>
  </si>
  <si>
    <t>SCREENER.IN</t>
  </si>
  <si>
    <t>Narration</t>
  </si>
  <si>
    <t>Trailing</t>
  </si>
  <si>
    <t>Best Case</t>
  </si>
  <si>
    <t>Worst Case</t>
  </si>
  <si>
    <t>Expenses</t>
  </si>
  <si>
    <t>Operating Profit</t>
  </si>
  <si>
    <t>Other Income</t>
  </si>
  <si>
    <t>Profit before tax</t>
  </si>
  <si>
    <t>Net profit</t>
  </si>
  <si>
    <t>Price to earning</t>
  </si>
  <si>
    <t>Price</t>
  </si>
  <si>
    <t>RATIOS:</t>
  </si>
  <si>
    <t>Dividend Payout</t>
  </si>
  <si>
    <t>OPM</t>
  </si>
  <si>
    <t>TRENDS:</t>
  </si>
  <si>
    <t>10 YEARS</t>
  </si>
  <si>
    <t>7 YEARS</t>
  </si>
  <si>
    <t>5 YEARS</t>
  </si>
  <si>
    <t>3 YEARS</t>
  </si>
  <si>
    <t>RECENT</t>
  </si>
  <si>
    <t>BEST</t>
  </si>
  <si>
    <t>WORST</t>
  </si>
  <si>
    <t>Price to Earning</t>
  </si>
  <si>
    <t>Total</t>
  </si>
  <si>
    <t>Net Block</t>
  </si>
  <si>
    <t>Working Capital</t>
  </si>
  <si>
    <t>Debtors</t>
  </si>
  <si>
    <t>Debtor Days</t>
  </si>
  <si>
    <t>Inventory Turnover</t>
  </si>
  <si>
    <t>Return on Equity</t>
  </si>
  <si>
    <t>Return on Capital Emp</t>
  </si>
  <si>
    <t>Particulars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</si>
  <si>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</si>
  <si>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</si>
  <si>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</si>
  <si>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</si>
  <si>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</si>
  <si>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</si>
  <si>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</si>
  <si>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</si>
  <si>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</si>
  <si>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</si>
  <si>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</si>
  <si>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</si>
  <si>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</si>
  <si>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</si>
  <si>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</si>
  <si>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</si>
  <si>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</si>
  <si>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</si>
  <si>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</si>
  <si>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</si>
  <si>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</si>
  <si>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</si>
  <si>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 (Trade Payables)</t>
  </si>
  <si>
    <t>Fixed Asset Turnover</t>
  </si>
  <si>
    <t>Equity Turnover Ratio</t>
  </si>
  <si>
    <t>(in days)</t>
  </si>
  <si>
    <t>Payable Days (Trade Payables)</t>
  </si>
  <si>
    <t>Inventory Days</t>
  </si>
  <si>
    <t>Cash Conversion Cycle (in days)</t>
  </si>
  <si>
    <t>CFO/Sales</t>
  </si>
  <si>
    <t>CFO/Total Assets</t>
  </si>
  <si>
    <t>CFO/Total Debt</t>
  </si>
  <si>
    <t>( Infosys Ltd | BSE Code: 500209 )</t>
  </si>
  <si>
    <t>52 Week (High - INR 224 &amp; Low - 153)</t>
  </si>
  <si>
    <t>About the company</t>
  </si>
  <si>
    <t>Infosys Limited is an Indian multinational information technology company headquartered in Bengaluru, providing next-generation digital services and consulting. Founded on 2 July 1981 by N.R. Narayana Murthy and six co-founders, it is India's second-largest IT services company by revenue after TCS, listed on the BSE, NSE and NYSE (as ADRs). As of March 2026, Infosys employed over 328,000 people and served clients across BFSI, retail, manufacturing, communications, energy/utilities and life sciences verticals worldwide.</t>
  </si>
  <si>
    <t>Financial Summary</t>
  </si>
  <si>
    <t>Return on Equity (ROE)</t>
  </si>
  <si>
    <t>Average Share Holder Equity</t>
  </si>
  <si>
    <t>ROE - Dupont Equation</t>
  </si>
  <si>
    <t>Revenue</t>
  </si>
  <si>
    <t>Net Profit Margin (A)</t>
  </si>
  <si>
    <t>Average Total Asset</t>
  </si>
  <si>
    <t>Asset Turnover Ratio (B)</t>
  </si>
  <si>
    <t>Equity Multiplier (C)</t>
  </si>
  <si>
    <t>Return on Equity (A*B*C)</t>
  </si>
  <si>
    <t>Return on Asset (ROA)</t>
  </si>
  <si>
    <t>ROA - Dupont Equation</t>
  </si>
  <si>
    <t>Return on Asset (A*B)</t>
  </si>
  <si>
    <t>52 Week (High - INR 1728 &amp; Low - 982)</t>
  </si>
  <si>
    <t>Altman's Z Score Analysis</t>
  </si>
  <si>
    <t>Working Capital / Total Assets</t>
  </si>
  <si>
    <t xml:space="preserve">Working Capital </t>
  </si>
  <si>
    <t>Total Asset</t>
  </si>
  <si>
    <t>Working Capital / Total Assets (A)</t>
  </si>
  <si>
    <t>Retained Earnings / Total Assets (Proxy: Reserves)</t>
  </si>
  <si>
    <t xml:space="preserve">Retained Earnings </t>
  </si>
  <si>
    <t>Retained Earnings / Total Assets (B)</t>
  </si>
  <si>
    <t>EBIT / Total Assets</t>
  </si>
  <si>
    <t xml:space="preserve">EBIT </t>
  </si>
  <si>
    <t>EBIT / Total Assets (C)</t>
  </si>
  <si>
    <t>Market Cap / Total Liabilities</t>
  </si>
  <si>
    <t xml:space="preserve">Market Cap   </t>
  </si>
  <si>
    <t>Market Cap / Total Liabilities (D)</t>
  </si>
  <si>
    <t>Sales / Total Assets</t>
  </si>
  <si>
    <t>Total Sales</t>
  </si>
  <si>
    <t>Sales / Total Assets (E)</t>
  </si>
  <si>
    <t>Altman's Z Score</t>
  </si>
  <si>
    <t>Altman Z-Score (proxy; see assumptions)</t>
  </si>
  <si>
    <t>Financial Stability</t>
  </si>
  <si>
    <t>Interpretation uses standard manufacturing Z-score bands; X2/X4 are proxies.</t>
  </si>
  <si>
    <t>INFOSYS LTD - Operating Drivers &amp; Outlook</t>
  </si>
  <si>
    <t>Purpose: Convert current business evidence into explicit, auditable forecasting assumptions; all forward estimates are analyst assumptions unless explicitly marked as company guidance.</t>
  </si>
  <si>
    <t>Current Operating Context</t>
  </si>
  <si>
    <t>FY26 Revenue (₹ Cr)</t>
  </si>
  <si>
    <t>FY26 reported revenue; source: Infosys FY26 annual report</t>
  </si>
  <si>
    <t>FY26 Reported Operating Margin</t>
  </si>
  <si>
    <t>Official FY26 reported operating margin</t>
  </si>
  <si>
    <t>FY26 Adjusted Operating Margin</t>
  </si>
  <si>
    <t>Official FY26 adjusted operating margin</t>
  </si>
  <si>
    <t>FY26 Free Cash Flow (₹ Cr)</t>
  </si>
  <si>
    <t>Official FY26 FCF</t>
  </si>
  <si>
    <t>FY26 Large Deal TCV (US$ bn)</t>
  </si>
  <si>
    <t>Official FY26 large-deal TCV</t>
  </si>
  <si>
    <t>FY26 Net-New TCV</t>
  </si>
  <si>
    <t>Official FY26 net-new share of large-deal TCV</t>
  </si>
  <si>
    <t>Q1 FY27 Revenue (₹ Cr)</t>
  </si>
  <si>
    <t>Official Q1 FY27 revenue</t>
  </si>
  <si>
    <t>Q1 FY27 YoY Revenue Growth</t>
  </si>
  <si>
    <t>Official Q1 FY27 reported YoY growth</t>
  </si>
  <si>
    <t>Q1 FY27 Operating Margin</t>
  </si>
  <si>
    <t>Official Q1 FY27 operating margin</t>
  </si>
  <si>
    <t>FY27 Revenue Guidance - Low (CC)</t>
  </si>
  <si>
    <t>Company guidance, constant currency</t>
  </si>
  <si>
    <t>FY27 Revenue Guidance - Midpoint (CC)</t>
  </si>
  <si>
    <t>Midpoint of the current 1.5%-3.0% company guidance (revised down from 1.5%-3.5% at Q1 FY27); used as a normalized starting point for the INR forecast, not as a direct CC-to-INR conversion</t>
  </si>
  <si>
    <t>FY27 Revenue Guidance - High (CC)</t>
  </si>
  <si>
    <t>Long-run Mature Segment Growth</t>
  </si>
  <si>
    <t>Analyst assumption used for segment-growth convergence; separate from terminal growth.</t>
  </si>
  <si>
    <t>FY26 Segment Context</t>
  </si>
  <si>
    <t>Segment</t>
  </si>
  <si>
    <t>FY25 Revenue (₹ Cr)</t>
  </si>
  <si>
    <t>FY26 YoY Growth</t>
  </si>
  <si>
    <t>Note</t>
  </si>
  <si>
    <t>FY27 segment growth assumptions are analyst inputs; FY26 actuals verified to Infosys FY26 Annual Report. Base-case DCF revenue growth is now driven by the segment forecast total.</t>
  </si>
  <si>
    <t>Financial Services</t>
  </si>
  <si>
    <t>Manufacturing</t>
  </si>
  <si>
    <t>Retail</t>
  </si>
  <si>
    <t>Energy, Utilities, Resources &amp; Services</t>
  </si>
  <si>
    <t>Communication</t>
  </si>
  <si>
    <t>Hi-Tech</t>
  </si>
  <si>
    <t>Life Sciences</t>
  </si>
  <si>
    <t>All Other Segments</t>
  </si>
  <si>
    <t>Weighted FY27 segment growth</t>
  </si>
  <si>
    <t>Cross-check vs. FY27 CC guidance midpoint</t>
  </si>
  <si>
    <t>Base-Case Explicit Forecast Assumptions</t>
  </si>
  <si>
    <t>FY27</t>
  </si>
  <si>
    <t>FY28</t>
  </si>
  <si>
    <t>FY29</t>
  </si>
  <si>
    <t>FY30</t>
  </si>
  <si>
    <t>FY31</t>
  </si>
  <si>
    <t>Revenue Growth</t>
  </si>
  <si>
    <t>Segment-driven base-case revenue growth</t>
  </si>
  <si>
    <t>Consolidated EBIT Margin (derived)</t>
  </si>
  <si>
    <t>Target ROIC</t>
  </si>
  <si>
    <t>Reinvestment Rate</t>
  </si>
  <si>
    <t>Normalized Effective Tax Rate (DCF)</t>
  </si>
  <si>
    <t>Normalized effective tax rate for FCFF forecast; WACC tax shield rate is separately defined below.</t>
  </si>
  <si>
    <t>Mid-Year</t>
  </si>
  <si>
    <t>Corporate / Unallocated Cost % Revenue</t>
  </si>
  <si>
    <t>Terminal Assumptions</t>
  </si>
  <si>
    <t>Terminal Reinvestment Rate</t>
  </si>
  <si>
    <t>Terminal Growth Check</t>
  </si>
  <si>
    <t>WACC Tax Shield Rate</t>
  </si>
  <si>
    <t>Marginal/statutory rate used for debt tax shield.</t>
  </si>
  <si>
    <t>Explicit-period reinvestment = Revenue Growth / Target ROIC. Integrated EBIT = Segment Operating Income less normalized corporate/unallocated costs. FY26 corporate/unallocated costs are anchored to the gap between segment operating income and normalized consolidated EBIT. DCF uses 29.5% normalized effective tax; WACC uses a separate statutory/marginal tax rate.</t>
  </si>
  <si>
    <t>Sources</t>
  </si>
  <si>
    <t>Infosys FY26 Integrated Annual Report; Infosys Q1 FY27 financial snapshot/results. Segment figures are FY25/FY26 reported data; FY27 segment growth assumptions are analyst estimates and are not company guidance.</t>
  </si>
  <si>
    <t>https://www.infosys.com/investors/reports-filings/annual-report/annual-reports/ar-2025-26.html</t>
  </si>
  <si>
    <t>https://www.infosys.com/about/last-quarter.html</t>
  </si>
  <si>
    <t>Integrated operating forecast feeding DCF &gt;. Historical trend exhibits remain on the left; the live DCF forecast is on the right.</t>
  </si>
  <si>
    <t>Base case uses the Operating Drivers forecast: FY27 growth starts at the guidance midpoint, then normalizes toward 3.0% by FY31; EBIT margin recovers toward 21.5%; explicit reinvestment is growth / target ROIC; terminal growth is 3.0% with terminal reinvestment derived from terminal growth / terminal ROIC.</t>
  </si>
  <si>
    <t>Base case uses FY27 guidance midpoint as a starting point and normalizes growth toward 3.0% by FY31. EBIT margin gradually recovers toward 21.5%. Explicit-period reinvestment is derived from growth / target ROIC; terminal reinvestment is derived separately from terminal growth / terminal ROIC.</t>
  </si>
  <si>
    <t>Integrated DCF Forecast</t>
  </si>
  <si>
    <t>Year Weight</t>
  </si>
  <si>
    <t>Year</t>
  </si>
  <si>
    <t>FY2027</t>
  </si>
  <si>
    <t>FY2028</t>
  </si>
  <si>
    <t>FY2029</t>
  </si>
  <si>
    <t>FY2030</t>
  </si>
  <si>
    <t>FY2031</t>
  </si>
  <si>
    <t>Revenue (₹ Cr)</t>
  </si>
  <si>
    <t>EBIT (₹ Cr)</t>
  </si>
  <si>
    <t>Tax Rate</t>
  </si>
  <si>
    <t>NOPAT (₹ Cr)</t>
  </si>
  <si>
    <t>FCFF (₹ Cr)</t>
  </si>
  <si>
    <t>Discount Factor</t>
  </si>
  <si>
    <t>PV of FCFF (₹ Cr)</t>
  </si>
  <si>
    <t>Forecast Horizon</t>
  </si>
  <si>
    <t>5 years</t>
  </si>
  <si>
    <t>Model Status</t>
  </si>
  <si>
    <t>Infosys Operating Scenarios</t>
  </si>
  <si>
    <t>Assumption</t>
  </si>
  <si>
    <t>Bear</t>
  </si>
  <si>
    <t>Base</t>
  </si>
  <si>
    <t>Bull</t>
  </si>
  <si>
    <t>Rationale</t>
  </si>
  <si>
    <t>Model Link</t>
  </si>
  <si>
    <t>FY27 Revenue Growth</t>
  </si>
  <si>
    <t>Brackets the current FY27 company guidance of 1.5%-3.0% CC (revised down from 1.5%-3.5% at Q1 FY27).</t>
  </si>
  <si>
    <t>FY28 Revenue Growth</t>
  </si>
  <si>
    <t>Normalization after FY27.</t>
  </si>
  <si>
    <t>FY29 Revenue Growth</t>
  </si>
  <si>
    <t>Medium-term normalization.</t>
  </si>
  <si>
    <t>FY30 Revenue Growth</t>
  </si>
  <si>
    <t>Mature growth convergence.</t>
  </si>
  <si>
    <t>FY31 Revenue Growth</t>
  </si>
  <si>
    <t>Long-run mature growth.</t>
  </si>
  <si>
    <t>FY27 EBIT Margin</t>
  </si>
  <si>
    <t>Q1 FY27 operating margin was 21.1%.</t>
  </si>
  <si>
    <t>EBIT margin</t>
  </si>
  <si>
    <t>FY28 EBIT Margin</t>
  </si>
  <si>
    <t>Operating leverage/productivity.</t>
  </si>
  <si>
    <t>FY29 EBIT Margin</t>
  </si>
  <si>
    <t>AI/productivity outcomes.</t>
  </si>
  <si>
    <t>FY30 EBIT Margin</t>
  </si>
  <si>
    <t>Mature margin path.</t>
  </si>
  <si>
    <t>FY31 EBIT Margin</t>
  </si>
  <si>
    <t>Long-run operating outcome.</t>
  </si>
  <si>
    <t>Long-run mature-growth range.</t>
  </si>
  <si>
    <t>Terminal value</t>
  </si>
  <si>
    <t>ROIC normalizes from current elevated levels.</t>
  </si>
  <si>
    <t>Formula-driven: g / terminal ROIC.</t>
  </si>
  <si>
    <t>Normalized Tax Rate</t>
  </si>
  <si>
    <t>Normalized effective tax assumption for FCFF.</t>
  </si>
  <si>
    <t>DCF</t>
  </si>
  <si>
    <t>Scenario interpretation</t>
  </si>
  <si>
    <t>AI benefits slower; pricing pressure and weak discretionary demand.</t>
  </si>
  <si>
    <t>AI supports demand and productivity while margins remain broadly stable.</t>
  </si>
  <si>
    <t>AI monetization, deal conversion and productivity support stronger growth and margins.</t>
  </si>
  <si>
    <t>INFOSYS LTD - Operating &amp; Valuation Scenarios</t>
  </si>
  <si>
    <t>Scenario Valuation Summary</t>
  </si>
  <si>
    <t>Scenario analysis changes operating assumptions first; valuation is an output. Bear/Base/Bull assumptions are analyst estimates, not company guidance except where explicitly noted.</t>
  </si>
  <si>
    <t>Scenario</t>
  </si>
  <si>
    <t>Value / Share</t>
  </si>
  <si>
    <t>Terminal g</t>
  </si>
  <si>
    <t>Bear Case</t>
  </si>
  <si>
    <t>Bear: slower growth, margin pressure and lower steady-state returns.</t>
  </si>
  <si>
    <t>Terminal FCFF</t>
  </si>
  <si>
    <t>PV Terminal Value</t>
  </si>
  <si>
    <t>PV Explicit FCFF</t>
  </si>
  <si>
    <t>Value Per Share</t>
  </si>
  <si>
    <t>Upside / (Downside) vs Current</t>
  </si>
  <si>
    <t>Base Case</t>
  </si>
  <si>
    <t>Bull Case</t>
  </si>
  <si>
    <t>Infosys Segment Forecast</t>
  </si>
  <si>
    <t>₹ crore</t>
  </si>
  <si>
    <t>FY25A</t>
  </si>
  <si>
    <t>FY26A</t>
  </si>
  <si>
    <t>All other segments</t>
  </si>
  <si>
    <t>Total Revenue</t>
  </si>
  <si>
    <t>YoY Growth</t>
  </si>
  <si>
    <t>Integrated Forecast Revenue</t>
  </si>
  <si>
    <t>Segment / Integrated Difference</t>
  </si>
  <si>
    <t>Methodology / Source</t>
  </si>
  <si>
    <t>FY25/FY26 segment revenue is sourced from Infosys FY26 Integrated Annual Report, Business segments (p. 387). FY27 segment growth assumptions are analyst inputs from Operating Drivers. FY28-FY31 normalize each segment toward 3.0% mature growth using a transparent convergence formula.</t>
  </si>
  <si>
    <t>Infosys Segment Profitability Forecast</t>
  </si>
  <si>
    <t>All Other</t>
  </si>
  <si>
    <t>Financial Services Margin</t>
  </si>
  <si>
    <t>Manufacturing Margin</t>
  </si>
  <si>
    <t>Retail Margin</t>
  </si>
  <si>
    <t>Energy, Utilities, Resources &amp; Services Margin</t>
  </si>
  <si>
    <t>Communication Margin</t>
  </si>
  <si>
    <t>Hi-Tech Margin</t>
  </si>
  <si>
    <t>Life Sciences Margin</t>
  </si>
  <si>
    <t>All Other Margin</t>
  </si>
  <si>
    <t>Segment Operating Income</t>
  </si>
  <si>
    <t>Total Segment Revenue</t>
  </si>
  <si>
    <t>Total Segment Operating Income</t>
  </si>
  <si>
    <t>Implied Segment Operating Margin</t>
  </si>
  <si>
    <t>Infosys AI &amp; Business Outlook</t>
  </si>
  <si>
    <t>Theme</t>
  </si>
  <si>
    <t>Base-case implication</t>
  </si>
  <si>
    <t>Bear-case implication</t>
  </si>
  <si>
    <t>Bull-case implication</t>
  </si>
  <si>
    <t>AI monetization</t>
  </si>
  <si>
    <t>Supports demand for AI/data/cloud services</t>
  </si>
  <si>
    <t>AI adoption creates pricing pressure before new revenue scales</t>
  </si>
  <si>
    <t>Accelerated AI services adoption adds incremental growth</t>
  </si>
  <si>
    <t>Productivity</t>
  </si>
  <si>
    <t>Supports operating leverage over time</t>
  </si>
  <si>
    <t>Productivity benefits accrue mainly to clients</t>
  </si>
  <si>
    <t>Productivity plus pricing discipline supports margin expansion</t>
  </si>
  <si>
    <t>Large deals</t>
  </si>
  <si>
    <t>Sustains medium-term visibility</t>
  </si>
  <si>
    <t>Slower discretionary IT spending delays conversion</t>
  </si>
  <si>
    <t>Strong large-deal conversion accelerates revenue</t>
  </si>
  <si>
    <t>Margins</t>
  </si>
  <si>
    <t>Stable to modestly improving</t>
  </si>
  <si>
    <t>Pricing and utilization pressure</t>
  </si>
  <si>
    <t>Higher utilization and productivity expand EBIT margin</t>
  </si>
  <si>
    <t>Key risks</t>
  </si>
  <si>
    <t>Client concentration, FX, macro IT spending</t>
  </si>
  <si>
    <t>AI cannibalization, pricing pressure, weak demand</t>
  </si>
  <si>
    <t>Execution capacity and talent constraints</t>
  </si>
  <si>
    <t>Model linkage</t>
  </si>
  <si>
    <t>Revenue growth and EBIT margin assumptions</t>
  </si>
  <si>
    <t>Lower revenue growth + lower margin</t>
  </si>
  <si>
    <t>Higher revenue growth + higher margin</t>
  </si>
  <si>
    <t>Research framing</t>
  </si>
  <si>
    <t>AI is treated as an operating driver, not as a standalone valuation premium.</t>
  </si>
  <si>
    <t>These qualitative cases are translated into explicit segment growth and EBIT-margin assumptions in Forecast Scenarios and Segment Profitability.</t>
  </si>
  <si>
    <t>FY26 EBIT Normalization Bridge</t>
  </si>
  <si>
    <t>Item</t>
  </si>
  <si>
    <t>Reported FY26 operating profit</t>
  </si>
  <si>
    <t>Labour-code provision</t>
  </si>
  <si>
    <t>Implied pre-provision operating profit</t>
  </si>
  <si>
    <t>Reported operating margin</t>
  </si>
  <si>
    <t>Adjusted operating margin (company-reported)</t>
  </si>
  <si>
    <t>Analytical implication</t>
  </si>
  <si>
    <t>Use the reported operating profit plus the identified one-off labour-code provision to normalize FY26 consolidated EBIT.</t>
  </si>
  <si>
    <t>Current model treatment</t>
  </si>
  <si>
    <t>FY27E onward is built bottom-up from segment operating income less normalized corporate/unallocated costs.</t>
  </si>
  <si>
    <t>Reason</t>
  </si>
  <si>
    <t>The corporate/unallocated cost bridge is anchored to FY26 normalized EBIT and held as a percentage of revenue unless explicitly changed.</t>
  </si>
  <si>
    <t>Reported FY26 Unallocable Expenses</t>
  </si>
  <si>
    <t>Normalized FY26 Unallocable Expenses</t>
  </si>
  <si>
    <t>Infosys FY26 Integrated Annual Report, Business Segments, p.387</t>
  </si>
  <si>
    <t>Weighted Average Cost of Capital</t>
  </si>
  <si>
    <t>All figures are in INR unless stated otherwise</t>
  </si>
  <si>
    <t>Peer Comps</t>
  </si>
  <si>
    <t>Debt /</t>
  </si>
  <si>
    <t>Levered</t>
  </si>
  <si>
    <t>Unlevered</t>
  </si>
  <si>
    <t>Name of the Comp</t>
  </si>
  <si>
    <t>Country</t>
  </si>
  <si>
    <t>Total Debt</t>
  </si>
  <si>
    <t>Total Equity</t>
  </si>
  <si>
    <t>Tax Rate 1</t>
  </si>
  <si>
    <t>Equity</t>
  </si>
  <si>
    <t>Capital</t>
  </si>
  <si>
    <t>Beta 2</t>
  </si>
  <si>
    <t>Beta 3</t>
  </si>
  <si>
    <t>Infosys</t>
  </si>
  <si>
    <t>India</t>
  </si>
  <si>
    <t>TCS</t>
  </si>
  <si>
    <t>HCL Technologies</t>
  </si>
  <si>
    <t>Wipro</t>
  </si>
  <si>
    <t>Tech Mahindra</t>
  </si>
  <si>
    <t>Average</t>
  </si>
  <si>
    <t>Cost of Debt</t>
  </si>
  <si>
    <t>Cost of Equity</t>
  </si>
  <si>
    <t>Pre-Tax Cost of Debt</t>
  </si>
  <si>
    <t>Risk Free Rate</t>
  </si>
  <si>
    <t>Source: India benchmark 10Y G-Sec yield; 6.768% on 6 Aug 2026, rounded to 6.77%.</t>
  </si>
  <si>
    <t>Tax Rate (Target Company)</t>
  </si>
  <si>
    <t>Equity Risk Premium</t>
  </si>
  <si>
    <t>Calculated from Rm!F11 less the 6.77% risk-free rate.</t>
  </si>
  <si>
    <t>Post Tax Cost of Debt</t>
  </si>
  <si>
    <t>Levered Beta 4</t>
  </si>
  <si>
    <t>Peer-relevered beta from WACC K38.</t>
  </si>
  <si>
    <t>CAPM: Rf + Beta × ERP.</t>
  </si>
  <si>
    <t>Capital Structure</t>
  </si>
  <si>
    <t>Levered Beta</t>
  </si>
  <si>
    <t>Current</t>
  </si>
  <si>
    <t>Target</t>
  </si>
  <si>
    <t>Comps Median Unlevered Beta</t>
  </si>
  <si>
    <t>Peer average (ex-Infosys)</t>
  </si>
  <si>
    <t>Target Debt / Equity</t>
  </si>
  <si>
    <t>Market Capitalization</t>
  </si>
  <si>
    <t>Total Capital</t>
  </si>
  <si>
    <t>Debt / Equity</t>
  </si>
  <si>
    <t>Notes:</t>
  </si>
  <si>
    <t>Total Cost</t>
  </si>
  <si>
    <t>Total Weight</t>
  </si>
  <si>
    <t>1. Tax Rates considered as Marginal Tax Rate for the country</t>
  </si>
  <si>
    <t>Debt</t>
  </si>
  <si>
    <t>2. Beta is bottom-up: peer regression betas (TCS, HCL Tech, Wipro, Tech Mahindra, LTIMindtree) are unlevered, the median (0.804) is taken, and re-levered at Infosys's capital structure to 0.824 (see K35-K38). The own-stock 2-year weekly regression on 'Beta - Regression' (R^2 ~ 0.14) is shown for reference only and is deliberately NOT used in the WACC.</t>
  </si>
  <si>
    <t>3. Unlevered Beta = Levered Beta / (1+(1 - Tax Rate)*Debt/Equity</t>
  </si>
  <si>
    <t>4. Levered Beta = Unlevered Beta * (1+(1 - Tax Rate)*Debt/Equity</t>
  </si>
  <si>
    <t>Regression Beta — 2 Years Weekly (through valuation date)</t>
  </si>
  <si>
    <t>Infosys Weekly Returns</t>
  </si>
  <si>
    <t>NIFTY Returns</t>
  </si>
  <si>
    <t>Beta Drifiting</t>
  </si>
  <si>
    <t>Beta 1</t>
  </si>
  <si>
    <t>Date</t>
  </si>
  <si>
    <t>Return</t>
  </si>
  <si>
    <t>Closing Price</t>
  </si>
  <si>
    <t>Levered Raw Beta</t>
  </si>
  <si>
    <t>Raw Beta Weight</t>
  </si>
  <si>
    <t>Market Beta</t>
  </si>
  <si>
    <t>Market Beta Weight</t>
  </si>
  <si>
    <t xml:space="preserve">Adjusted Beta </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</si>
  <si>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</si>
  <si>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</si>
  <si>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</si>
  <si>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</si>
  <si>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</si>
  <si>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</si>
  <si>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</si>
  <si>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</si>
  <si>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</si>
  <si>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</si>
  <si>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</si>
  <si>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</si>
  <si>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</si>
  <si>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</si>
  <si>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</si>
  <si>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</si>
  <si>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</si>
  <si>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</si>
  <si>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</si>
  <si>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</si>
  <si>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</si>
  <si>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</si>
  <si>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</si>
  <si>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X Variable 1</t>
  </si>
  <si>
    <t>Regression Beta - 2 Years Weekly</t>
  </si>
  <si>
    <t>TCS Weekly Returns</t>
  </si>
  <si>
    <t>HCL Tech Weekly Returns</t>
  </si>
  <si>
    <t>Wipro Weekly Returns</t>
  </si>
  <si>
    <t>Tech Mahindra Weekly Returns</t>
  </si>
  <si>
    <t>LTM Weekly Returns</t>
  </si>
  <si>
    <t>TCS Beta</t>
  </si>
  <si>
    <t>HCL Tech Beta</t>
  </si>
  <si>
    <t>Wipro Beta</t>
  </si>
  <si>
    <t>Tech Mahindra Beta</t>
  </si>
  <si>
    <t>LTM Beta</t>
  </si>
  <si>
    <t>SUMMARY OUTPUT (TCS)</t>
  </si>
  <si>
    <t>SUMMARY OUTPUT (Tech Mahindra)</t>
  </si>
  <si>
    <t>SUMMARY OUTPUT (HCL)</t>
  </si>
  <si>
    <t>SUMMARY OUTPUT (LTM)</t>
  </si>
  <si>
    <t>SUMMARY OUTPUT (Wipro)</t>
  </si>
  <si>
    <t>S.No.</t>
  </si>
  <si>
    <t>Name</t>
  </si>
  <si>
    <t>CMP Rs.</t>
  </si>
  <si>
    <t>No. Eq. Shares Cr.</t>
  </si>
  <si>
    <t>Debt Rs.Cr.</t>
  </si>
  <si>
    <t>Cash End Rs.Cr.</t>
  </si>
  <si>
    <t>EV Rs.Cr.</t>
  </si>
  <si>
    <t>Sales Rs.Cr.</t>
  </si>
  <si>
    <t>NP 12M Rs.Cr.</t>
  </si>
  <si>
    <t>EBIT 12M Rs.Cr.</t>
  </si>
  <si>
    <t>Dep 12M Rs.Cr.</t>
  </si>
  <si>
    <t>Capital structure bridge aligned to Data Sheet / WACC</t>
  </si>
  <si>
    <t>Persistent Systems</t>
  </si>
  <si>
    <t>Median: 72 Co.</t>
  </si>
  <si>
    <t>Note: This comps-based (peer unlevered -&gt; re-levered) beta IS the beta used in the WACC (see WACC!K35-K38). The own-stock 2-year weekly regression on 'Beta - Regression' has a low explanatory power (R^2 ~ 0.14), so it is kept for reference/transparency only and is not used in the WACC.</t>
  </si>
  <si>
    <t>Returns on Markets</t>
  </si>
  <si>
    <t>Annual</t>
  </si>
  <si>
    <t>Gross Return (1+r)</t>
  </si>
  <si>
    <t>Average Return</t>
  </si>
  <si>
    <t>Dividend Yield</t>
  </si>
  <si>
    <t>Total Market Return</t>
  </si>
  <si>
    <t>Arithmetic Mean Return (original)</t>
  </si>
  <si>
    <t xml:space="preserve">Geometric Mean / CAGR Return </t>
  </si>
  <si>
    <t>Methodology: Nifty 50 annual PRICE returns for calendar years 2000–2025; geometric mean/CAGR is used as the base market price-return measure, then current Nifty 50 dividend yield is added to estimate total market return.</t>
  </si>
  <si>
    <t>Market return source: NSE Indices / Nifty 50 historical index data; annual price-return series cross-checked against published Nifty 50 annual return history.</t>
  </si>
  <si>
    <t>Dividend yield source: Nifty 50 dividend-yield data (1.30%, rounded; early-August 2026 observation).</t>
  </si>
  <si>
    <t>Total market return = geometric mean/CAGR price return (11.65%) + dividend yield (1.30%) = 12.95%; ERP = 12.95% − 6.77% risk-free rate = 6.18%.</t>
  </si>
  <si>
    <t>Risk-free source: India benchmark 10-year Government Security yield; 6.768% observed 6 Aug 2026 and rounded to 6.77% for the model (Moneycontrol market report; benchmark yield data cross-checked against G-Sec market sources).</t>
  </si>
  <si>
    <t>WACC valuation-date convention: inputs are point-in-time assumptions for the 22 Aug 2026 valuation date; the beta window is refreshed through 21 Aug 2026.</t>
  </si>
  <si>
    <t>Calculation of ROIC</t>
  </si>
  <si>
    <t>Current Assets</t>
  </si>
  <si>
    <t>Current Liabilities</t>
  </si>
  <si>
    <t>Total Current Liabilities</t>
  </si>
  <si>
    <t>Net Working Capital</t>
  </si>
  <si>
    <t>Non - Current Assets</t>
  </si>
  <si>
    <t>Gross Block</t>
  </si>
  <si>
    <t>Accumulated Depreciation</t>
  </si>
  <si>
    <t>Net Non Current Assets</t>
  </si>
  <si>
    <t>Invested Capital</t>
  </si>
  <si>
    <t>EBIT</t>
  </si>
  <si>
    <t>ROIC</t>
  </si>
  <si>
    <t>Calculation of Reinvestment Rate</t>
  </si>
  <si>
    <t>Net Capex (Capex - Depreciation)</t>
  </si>
  <si>
    <t>Change in Working Capital</t>
  </si>
  <si>
    <t>Marginal Tax Rate</t>
  </si>
  <si>
    <t>EBIT(1-T)</t>
  </si>
  <si>
    <t>Reinvestment</t>
  </si>
  <si>
    <t xml:space="preserve">4 Year Average </t>
  </si>
  <si>
    <t>4 Year Median</t>
  </si>
  <si>
    <t>Calculation of Growth Rate</t>
  </si>
  <si>
    <t>Intrinsic Growth</t>
  </si>
  <si>
    <t>Calculation of PV of  FCFF</t>
  </si>
  <si>
    <t>(All figures in ₹ Crore unless stated otherwise)</t>
  </si>
  <si>
    <t>Less: Reinvestment Rate</t>
  </si>
  <si>
    <t>Free Cash Flow to Firm (FCFF)</t>
  </si>
  <si>
    <t>Mid-Year Convention</t>
  </si>
  <si>
    <t>Discounting Factor</t>
  </si>
  <si>
    <t>PV of FCFF</t>
  </si>
  <si>
    <t>FY27 Revenue Growth (Base Case)</t>
  </si>
  <si>
    <t>Calculation of Terminal Value</t>
  </si>
  <si>
    <t>Sensitivity Analysis</t>
  </si>
  <si>
    <t>Terminal g / WACC</t>
  </si>
  <si>
    <t>FCFF(N+1)</t>
  </si>
  <si>
    <t>Terminal Growth Rate</t>
  </si>
  <si>
    <t>Calculation of Equity Value per Share</t>
  </si>
  <si>
    <t>PV of Terminal Value</t>
  </si>
  <si>
    <t>Value of Operating Assets</t>
  </si>
  <si>
    <t>Less: Net Debt (Total Debt incl. lease liabilities, less Cash; sourced consistently from the model debt/cash bridge)</t>
  </si>
  <si>
    <t>Value of Equity</t>
  </si>
  <si>
    <t>No. of Shares</t>
  </si>
  <si>
    <t>Equity Value per Share</t>
  </si>
  <si>
    <t>Share Price</t>
  </si>
  <si>
    <t>Premium / (Discount) to DCF Value</t>
  </si>
  <si>
    <t>Cross-Checks &amp; Assumption Reconciliation (Audit Addition)</t>
  </si>
  <si>
    <t>Historical Reinvestment Rate (4-Yr Avg, FY23-26)</t>
  </si>
  <si>
    <t>Historical Reinvestment Rate (4-Yr Median)</t>
  </si>
  <si>
    <t>Latest ROIC (FY26)</t>
  </si>
  <si>
    <t>FY27 Implied Growth = Reinvestment Rate × Target ROIC</t>
  </si>
  <si>
    <t>FY27 Revenue Growth Assumed in Model</t>
  </si>
  <si>
    <t>Terminal ROIC = Terminal Growth / Terminal Reinvestment</t>
  </si>
  <si>
    <t>Terminal Value Sanity Check: Implied Exit Multiple vs. Peer Trading Multiples</t>
  </si>
  <si>
    <t>Terminal Value (D34)</t>
  </si>
  <si>
    <t>FY31 EBITDA proxy = FY31 Revenue × (EBIT Margin + FY26 D&amp;A % Revenue)</t>
  </si>
  <si>
    <t>Implied Terminal EV/EBITDA (Terminal Value / FY31 EBITDA proxy)</t>
  </si>
  <si>
    <t>Peer Group Median EV/EBITDA (from 'Comps Val' tab)</t>
  </si>
  <si>
    <t>Terminal multiple interpretation (diagnostic only)</t>
  </si>
  <si>
    <t>Methodology note: D65 compares the FY31 (terminal-year) implied EV/EBITDA to the FY26 (current) peer-median EV/EBITDA (D66) -- i.e. it assumes today's peer multiple structure persists through the forecast horizon. This is the standard implied-exit-multiple reasonableness check, not a same-year comparison. If sector multiples compress (e.g. AI-driven fee-pool disintermediation across the peer set), this check would overstate the terminal value's plausibility even when it reads PASS.</t>
  </si>
  <si>
    <t>Professional-model note: Explicit-period forecast assumptions are analyst estimates linked from Operating Drivers. Terminal reinvestment is formula-driven as terminal growth / terminal ROIC. Historical intrinsic-growth outputs are used as cross-checks, not as automatic forecast inputs.</t>
  </si>
  <si>
    <t>Integrated Operating Model</t>
  </si>
  <si>
    <t>Corporate / Unallocated Costs</t>
  </si>
  <si>
    <t>Consolidated EBIT</t>
  </si>
  <si>
    <t>Consolidated EBIT Margin</t>
  </si>
  <si>
    <t>NOPAT</t>
  </si>
  <si>
    <t>FCFF</t>
  </si>
  <si>
    <t>Base Scenario Revenue Growth</t>
  </si>
  <si>
    <t>FY27E-FY31E FCFF is bottom-up from segment revenue and segment operating income, less normalized unallocable/corporate costs. FY26 normalized unallocable costs are ₹4,902 crore (₹6,191 crore reported less ₹1,289 crore Labour Code provision).</t>
  </si>
  <si>
    <t>Scenario / Integrated Margin Difference</t>
  </si>
  <si>
    <t>DCF Integration — Phase 7</t>
  </si>
  <si>
    <t>₹ crore except per-share</t>
  </si>
  <si>
    <t>Integrated FCFF</t>
  </si>
  <si>
    <t>Discount Period</t>
  </si>
  <si>
    <t>Terminal NOPAT</t>
  </si>
  <si>
    <t>Net Debt (incl. lease liabilities)</t>
  </si>
  <si>
    <t>Shares Outstanding</t>
  </si>
  <si>
    <t>PV Terminal Value / EV</t>
  </si>
  <si>
    <t>DCF Upside / (Downside)</t>
  </si>
  <si>
    <t>Amount in crores</t>
  </si>
  <si>
    <t>Comparable Company Valuation — Reference Set</t>
  </si>
  <si>
    <t>Market Data</t>
  </si>
  <si>
    <t>Financials</t>
  </si>
  <si>
    <t>Company</t>
  </si>
  <si>
    <t>Ticker</t>
  </si>
  <si>
    <t>Share 0utstanding</t>
  </si>
  <si>
    <t>Net Debt</t>
  </si>
  <si>
    <t>Net Income</t>
  </si>
  <si>
    <t>EV/Revenue</t>
  </si>
  <si>
    <t>EV/EBITDA</t>
  </si>
  <si>
    <t>P/E</t>
  </si>
  <si>
    <t>Extended Peer Median — Context Only (Persistent, Coforge, Mphasis, Hexaware)</t>
  </si>
  <si>
    <t>High</t>
  </si>
  <si>
    <t>75th Percentile</t>
  </si>
  <si>
    <t>25th Percentile</t>
  </si>
  <si>
    <t>Low</t>
  </si>
  <si>
    <t>Core Peer Median — Primary Comps Cross-Check (TCS, HCL Technologies, Wipro, Tech Mahindra, LTIMindtree)</t>
  </si>
  <si>
    <t>Infosys Implied Valuation — Core-Peer Multiples</t>
  </si>
  <si>
    <t>Implied Enterprise Value</t>
  </si>
  <si>
    <t>Implied Market Value</t>
  </si>
  <si>
    <t>Target methodology uses the core-peer EV/EBITDA result only; extended peers are shown for context and are not blended into the target.</t>
  </si>
  <si>
    <t>Implied Value Per Share</t>
  </si>
  <si>
    <t>Core Peer Implied Value Per Share</t>
  </si>
  <si>
    <t>Source: Screener.in</t>
  </si>
  <si>
    <t>Source: Screener.in for peer market/financial data; Infosys share price anchored to Data Sheet B8.</t>
  </si>
  <si>
    <t>Football Field Analysis - Data</t>
  </si>
  <si>
    <t>OpenLow</t>
  </si>
  <si>
    <t>OpenHigh</t>
  </si>
  <si>
    <t>high</t>
  </si>
  <si>
    <t>DCF Bear</t>
  </si>
  <si>
    <t>DCF Base</t>
  </si>
  <si>
    <t>DCF Bull</t>
  </si>
  <si>
    <t>52W H/L</t>
  </si>
  <si>
    <t>DCF ranges are operating scenarios; Comps is the core-peer range across EV/Revenue, EV/EBITDA and P/E. Extended peers remain a context check.</t>
  </si>
  <si>
    <t>COMPANY NAME</t>
  </si>
  <si>
    <t>INFOSYS LTD</t>
  </si>
  <si>
    <t>PLEASE DO NOT MAKE ANY CHANGES TO THIS SHEET</t>
  </si>
  <si>
    <t>CURRENT VERSION</t>
  </si>
  <si>
    <t>META</t>
  </si>
  <si>
    <t>Number of shares</t>
  </si>
  <si>
    <t>Face Value</t>
  </si>
  <si>
    <t>Current / Valuation Price</t>
  </si>
  <si>
    <t>PROFIT &amp; LOSS</t>
  </si>
  <si>
    <t>Report Date</t>
  </si>
  <si>
    <t>Raw Material Cost</t>
  </si>
  <si>
    <t>Change in Inventory</t>
  </si>
  <si>
    <t>Power and Fuel</t>
  </si>
  <si>
    <t>Other Mfr. Exp</t>
  </si>
  <si>
    <t>Employee Cost</t>
  </si>
  <si>
    <t>Selling and admin</t>
  </si>
  <si>
    <t>Other Expenses</t>
  </si>
  <si>
    <t>Dividend Amount</t>
  </si>
  <si>
    <t>Quarters</t>
  </si>
  <si>
    <t>BALANCE SHEET</t>
  </si>
  <si>
    <t>No. of Equity Shares</t>
  </si>
  <si>
    <t>New Bonus Shares</t>
  </si>
  <si>
    <t>Face value</t>
  </si>
  <si>
    <t>Other Asset</t>
  </si>
  <si>
    <t>Retained Earnings</t>
  </si>
  <si>
    <t>CASH FLOW:</t>
  </si>
  <si>
    <t>PRICE:</t>
  </si>
  <si>
    <t>DERIVED:</t>
  </si>
  <si>
    <t>Adjusted Equity Shares in Cr</t>
  </si>
  <si>
    <t>Market Cap</t>
  </si>
  <si>
    <t>EV</t>
  </si>
  <si>
    <t>Coforge</t>
  </si>
  <si>
    <t>Mphasis</t>
  </si>
  <si>
    <t>Hexaware Tech.</t>
  </si>
  <si>
    <t>Equity Capital</t>
  </si>
  <si>
    <t>Borrowings -</t>
  </si>
  <si>
    <t>Lease Liabilities</t>
  </si>
  <si>
    <t>Other Liabilities -</t>
  </si>
  <si>
    <t>Non controlling int</t>
  </si>
  <si>
    <t>Trade Payables</t>
  </si>
  <si>
    <t>Advance from Customers</t>
  </si>
  <si>
    <t>Other liability items</t>
  </si>
  <si>
    <t>Fixed Assets -</t>
  </si>
  <si>
    <t>Land</t>
  </si>
  <si>
    <t>Building</t>
  </si>
  <si>
    <t>Plant Machinery</t>
  </si>
  <si>
    <t>Equipments</t>
  </si>
  <si>
    <t>Computers</t>
  </si>
  <si>
    <t>Furniture n fittings</t>
  </si>
  <si>
    <t>Vehicles</t>
  </si>
  <si>
    <t>Intangible Assets</t>
  </si>
  <si>
    <t>Other fixed assets</t>
  </si>
  <si>
    <t>CWIP</t>
  </si>
  <si>
    <t>Other Assets -</t>
  </si>
  <si>
    <t xml:space="preserve">Trade receivables </t>
  </si>
  <si>
    <t>Cash Equivalents</t>
  </si>
  <si>
    <t>Loans n Advances</t>
  </si>
  <si>
    <t>Other asset items</t>
  </si>
  <si>
    <t>Cash from Operating Activity -</t>
  </si>
  <si>
    <t>Loans Advances</t>
  </si>
  <si>
    <t>Cash from Investing Activity -</t>
  </si>
  <si>
    <t>Cash from Financing Activity -</t>
  </si>
  <si>
    <t>Free Cash Flow</t>
  </si>
  <si>
    <t>CFO/OP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</si>
</sst>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0.0%"/>
    <numFmt numFmtId="165" formatCode="\₹#,##0.00"/>
    <numFmt numFmtId="166" formatCode="\₹#,##0.0"/>
    <numFmt numFmtId="167" formatCode="#,##0.0;\(#,##0.0\);\-"/>
    <numFmt numFmtId="168" formatCode="#,##0.0"/>
    <numFmt numFmtId="169" formatCode="#,##0.00;\(#,##0.00\);\-"/>
    <numFmt numFmtId="170" formatCode="\₹#,##0.0;&quot;(₹&quot;#,##0.00\);\-"/>
    <numFmt numFmtId="171" formatCode="\₹#,##0.00_);&quot;(₹&quot;#,##0.00\)"/>
    <numFmt numFmtId="172" formatCode="_(* #,##0.00_);_(* \(#,##0.00\);_(* \-??_);_(@_)"/>
    <numFmt numFmtId="173" formatCode="_ * #,##0.00_ ;_ * \-#,##0.00_ ;_ * \-??_ ;_ @_ "/>
    <numFmt numFmtId="174" formatCode="[$-409]mmm\-yy;@"/>
    <numFmt numFmtId="175" formatCode="0.00\x"/>
    <numFmt numFmtId="176" formatCode="0.0"/>
    <numFmt numFmtId="177" formatCode="yyyy\A"/>
    <numFmt numFmtId="178" formatCode="0.0\x"/>
    <numFmt numFmtId="179" formatCode="yyyy\E"/>
    <numFmt numFmtId="180" formatCode="0.000\x"/>
    <numFmt numFmtId="181" formatCode="yyyy"/>
    <numFmt numFmtId="182" formatCode="[$-809]dd\ mmmm\ yyyy;@"/>
    <numFmt numFmtId="183" formatCode="dd\-mm\-yy"/>
    <numFmt numFmtId="184" formatCode="0.0000"/>
    <numFmt numFmtId="185" formatCode="#,##0.0_);\(#,##0.0\)"/>
    <numFmt numFmtId="186" formatCode="mmm\-yy\A"/>
    <numFmt numFmtId="187" formatCode="mmm\-yy\F"/>
  </numFmts>
  <fonts count="51" x14ac:knownFonts="1">
    <font>
      <sz val="11"/>
      <color theme="1"/>
      <name val="Calibri"/>
      <family val="2"/>
      <charset val="1"/>
    </font>
    <font>
      <sz val="10"/>
      <name val="Arial"/>
      <family val="2"/>
    </font>
    <font>
      <b/>
      <sz val="14"/>
      <name val="Cambria"/>
      <family val="1"/>
      <charset val="1"/>
    </font>
    <font>
      <b/>
      <sz val="11"/>
      <name val="Cambria"/>
      <family val="1"/>
      <charset val="1"/>
    </font>
    <font>
      <b/>
      <sz val="14"/>
      <color rgb="FFFFFFFF"/>
      <name val="Cambria"/>
      <family val="1"/>
      <charset val="1"/>
    </font>
    <font>
      <b/>
      <sz val="11"/>
      <color rgb="FFFFFFFF"/>
      <name val="Cambria"/>
      <family val="1"/>
      <charset val="1"/>
    </font>
    <font>
      <b/>
      <sz val="11"/>
      <color rgb="FF1F1F1F"/>
      <name val="Cambria"/>
      <family val="1"/>
      <charset val="1"/>
    </font>
    <font>
      <b/>
      <sz val="11"/>
      <color theme="1"/>
      <name val="Calibri"/>
      <family val="2"/>
      <charset val="1"/>
    </font>
    <font>
      <b/>
      <sz val="13"/>
      <color rgb="FF1F3864"/>
      <name val="Cambria"/>
      <family val="1"/>
      <charset val="1"/>
    </font>
    <font>
      <sz val="11"/>
      <color theme="2"/>
      <name val="Calibri"/>
      <family val="2"/>
      <charset val="1"/>
    </font>
    <font>
      <sz val="11"/>
      <color theme="0"/>
      <name val="Calibri"/>
      <family val="2"/>
      <charset val="1"/>
    </font>
    <font>
      <i/>
      <sz val="11"/>
      <color theme="1" tint="0.34949797051911985"/>
      <name val="Calibri"/>
      <family val="2"/>
      <charset val="1"/>
    </font>
    <font>
      <sz val="11"/>
      <color rgb="FF22222F"/>
      <name val="Arial"/>
      <family val="2"/>
      <charset val="1"/>
    </font>
    <font>
      <b/>
      <sz val="11"/>
      <color rgb="FFFF0000"/>
      <name val="Calibri"/>
      <family val="2"/>
      <charset val="1"/>
    </font>
    <font>
      <b/>
      <sz val="11"/>
      <color theme="0"/>
      <name val="Calibri"/>
      <family val="2"/>
      <charset val="1"/>
    </font>
    <font>
      <sz val="11"/>
      <name val="Calibri"/>
      <family val="2"/>
      <charset val="1"/>
    </font>
    <font>
      <b/>
      <sz val="22"/>
      <color rgb="FF407AAA"/>
      <name val="Calibri"/>
      <family val="2"/>
      <charset val="1"/>
    </font>
    <font>
      <b/>
      <sz val="14"/>
      <color rgb="FF407AAA"/>
      <name val="Calibri"/>
      <family val="2"/>
      <charset val="1"/>
    </font>
    <font>
      <b/>
      <sz val="12"/>
      <color rgb="FF407AAA"/>
      <name val="Calibri"/>
      <family val="2"/>
      <charset val="1"/>
    </font>
    <font>
      <b/>
      <sz val="12"/>
      <color theme="0"/>
      <name val="Calibri"/>
      <family val="2"/>
      <charset val="1"/>
    </font>
    <font>
      <b/>
      <i/>
      <sz val="11"/>
      <color rgb="FF407AAA"/>
      <name val="Calibri"/>
      <family val="2"/>
      <charset val="1"/>
    </font>
    <font>
      <i/>
      <sz val="9"/>
      <name val="Cambria"/>
      <family val="1"/>
      <charset val="1"/>
    </font>
    <font>
      <i/>
      <sz val="9"/>
      <color rgb="FF666666"/>
      <name val="Cambria"/>
      <family val="1"/>
      <charset val="1"/>
    </font>
    <font>
      <sz val="11"/>
      <color rgb="FF9C6500"/>
      <name val="Cambria"/>
      <family val="1"/>
      <charset val="1"/>
    </font>
    <font>
      <sz val="11"/>
      <color rgb="FF006100"/>
      <name val="Cambria"/>
      <family val="1"/>
      <charset val="1"/>
    </font>
    <font>
      <sz val="12"/>
      <color theme="10"/>
      <name val="Calibri"/>
      <family val="2"/>
      <charset val="1"/>
    </font>
    <font>
      <b/>
      <sz val="13"/>
      <color rgb="FFFFFFFF"/>
      <name val="Cambria"/>
      <family val="1"/>
      <charset val="1"/>
    </font>
    <font>
      <sz val="11"/>
      <name val="Cambria"/>
      <family val="1"/>
      <charset val="1"/>
    </font>
    <font>
      <sz val="11"/>
      <color rgb="FF0000FF"/>
      <name val="Calibri"/>
      <family val="2"/>
      <charset val="1"/>
    </font>
    <font>
      <i/>
      <sz val="11"/>
      <color rgb="FF1F1F1F"/>
      <name val="Cambria"/>
      <family val="1"/>
      <charset val="1"/>
    </font>
    <font>
      <sz val="14"/>
      <color rgb="FF22222F"/>
      <name val="Arial"/>
      <family val="2"/>
      <charset val="1"/>
    </font>
    <font>
      <i/>
      <sz val="11"/>
      <color theme="1"/>
      <name val="Calibri"/>
      <family val="2"/>
      <charset val="1"/>
    </font>
    <font>
      <sz val="14"/>
      <color rgb="FF212529"/>
      <name val="Helvetica Neue"/>
      <family val="2"/>
      <charset val="1"/>
    </font>
    <font>
      <sz val="11"/>
      <color rgb="FF0096FF"/>
      <name val="Calibri"/>
      <family val="2"/>
      <charset val="1"/>
    </font>
    <font>
      <sz val="11"/>
      <color rgb="FF008000"/>
      <name val="Calibri"/>
      <family val="2"/>
      <charset val="1"/>
    </font>
    <font>
      <i/>
      <sz val="9"/>
      <color rgb="FF808080"/>
      <name val="Cambria"/>
      <family val="1"/>
      <charset val="1"/>
    </font>
    <font>
      <i/>
      <sz val="9"/>
      <color theme="1"/>
      <name val="Calibri"/>
      <family val="2"/>
      <charset val="1"/>
    </font>
    <font>
      <b/>
      <sz val="11"/>
      <color rgb="FFFFFFFF"/>
      <name val="Calibri"/>
      <family val="2"/>
      <charset val="1"/>
    </font>
    <font>
      <u/>
      <sz val="11"/>
      <color theme="10"/>
      <name val="Calibri"/>
      <family val="2"/>
      <charset val="1"/>
    </font>
    <font>
      <sz val="11"/>
      <color rgb="FF22222F"/>
      <name val="Calibri"/>
      <family val="2"/>
      <charset val="1"/>
    </font>
    <font>
      <i/>
      <sz val="9"/>
      <color rgb="FF595959"/>
      <name val="Calibri"/>
      <family val="2"/>
      <charset val="1"/>
    </font>
    <font>
      <sz val="11"/>
      <color rgb="FF0275D8"/>
      <name val="Calibri"/>
      <family val="2"/>
      <charset val="1"/>
    </font>
    <font>
      <b/>
      <sz val="11"/>
      <color rgb="FFC00000"/>
      <name val="Cambria"/>
      <family val="1"/>
      <charset val="1"/>
    </font>
    <font>
      <b/>
      <sz val="11"/>
      <color rgb="FF0275D8"/>
      <name val="Calibri"/>
      <family val="2"/>
      <charset val="1"/>
    </font>
    <font>
      <i/>
      <sz val="9"/>
      <color rgb="FF808080"/>
      <name val="Calibri"/>
      <family val="2"/>
      <charset val="1"/>
    </font>
    <font>
      <b/>
      <sz val="11"/>
      <color rgb="FF0000FF"/>
      <name val="Cambria"/>
      <family val="1"/>
      <charset val="1"/>
    </font>
    <font>
      <sz val="11"/>
      <color rgb="FF000000"/>
      <name val="Calibri"/>
      <family val="2"/>
      <charset val="1"/>
    </font>
    <font>
      <b/>
      <sz val="12"/>
      <color rgb="FF002060"/>
      <name val="Calibri"/>
      <family val="2"/>
      <charset val="1"/>
    </font>
    <font>
      <sz val="11"/>
      <color theme="6" tint="-0.249977111117893"/>
      <name val="Calibri"/>
      <family val="2"/>
      <charset val="1"/>
    </font>
    <font>
      <sz val="11"/>
      <color theme="1"/>
      <name val="Calibri"/>
      <family val="2"/>
      <charset val="1"/>
    </font>
    <font>
      <b/>
      <sz val="11"/>
      <color theme="1"/>
      <name val="Calibri"/>
      <family val="2"/>
    </font>
  </fonts>
  <fills count="23">
    <fill>
      <patternFill patternType="none"/>
    </fill>
    <fill>
      <patternFill patternType="gray125"/>
    </fill>
    <fill>
      <patternFill patternType="solid">
        <fgColor rgb="FFD9EAF7"/>
        <bgColor rgb="FFDEF5FA"/>
      </patternFill>
    </fill>
    <fill>
      <patternFill patternType="solid">
        <fgColor rgb="FFEAF2F8"/>
        <bgColor rgb="FFF2F2F2"/>
      </patternFill>
    </fill>
    <fill>
      <patternFill patternType="solid">
        <fgColor rgb="FF1F4E78"/>
        <bgColor rgb="FF1F3864"/>
      </patternFill>
    </fill>
    <fill>
      <patternFill patternType="solid">
        <fgColor rgb="FF002060"/>
        <bgColor rgb="FF22222F"/>
      </patternFill>
    </fill>
    <fill>
      <patternFill patternType="solid">
        <fgColor theme="0"/>
        <bgColor rgb="FFF2F2F2"/>
      </patternFill>
    </fill>
    <fill>
      <patternFill patternType="solid">
        <fgColor theme="4"/>
        <bgColor rgb="FF5B9BD5"/>
      </patternFill>
    </fill>
    <fill>
      <patternFill patternType="solid">
        <fgColor rgb="FF0275D8"/>
        <bgColor rgb="FF2E75B6"/>
      </patternFill>
    </fill>
    <fill>
      <patternFill patternType="solid">
        <fgColor theme="4" tint="0.39939573351237523"/>
        <bgColor rgb="FF78AAD6"/>
      </patternFill>
    </fill>
    <fill>
      <patternFill patternType="solid">
        <fgColor theme="6" tint="0.39939573351237523"/>
        <bgColor rgb="FFFF8119"/>
      </patternFill>
    </fill>
    <fill>
      <patternFill patternType="solid">
        <fgColor rgb="FF407AAA"/>
        <bgColor rgb="FF2E75B6"/>
      </patternFill>
    </fill>
    <fill>
      <patternFill patternType="solid">
        <fgColor rgb="FF78AAD6"/>
        <bgColor rgb="FF5B9BD5"/>
      </patternFill>
    </fill>
    <fill>
      <patternFill patternType="solid">
        <fgColor rgb="FFFFF2CC"/>
        <bgColor rgb="FFF2F2F2"/>
      </patternFill>
    </fill>
    <fill>
      <patternFill patternType="solid">
        <fgColor rgb="FFE2F0D9"/>
        <bgColor rgb="FFE7E6E6"/>
      </patternFill>
    </fill>
    <fill>
      <patternFill patternType="solid">
        <fgColor rgb="FF5B9BD5"/>
        <bgColor rgb="FF78AAD6"/>
      </patternFill>
    </fill>
    <fill>
      <patternFill patternType="solid">
        <fgColor theme="0" tint="-0.14999847407452621"/>
        <bgColor rgb="FFE7E6E6"/>
      </patternFill>
    </fill>
    <fill>
      <patternFill patternType="solid">
        <fgColor rgb="FFE7E6E6"/>
        <bgColor rgb="FFE2F0D9"/>
      </patternFill>
    </fill>
    <fill>
      <patternFill patternType="solid">
        <fgColor rgb="FF00B0F0"/>
        <bgColor rgb="FF0096FF"/>
      </patternFill>
    </fill>
    <fill>
      <patternFill patternType="solid">
        <fgColor theme="0" tint="-4.9989318521683403E-2"/>
        <bgColor rgb="FFEAF2F8"/>
      </patternFill>
    </fill>
    <fill>
      <patternFill patternType="solid">
        <fgColor rgb="FF0096FF"/>
        <bgColor rgb="FF00B0F0"/>
      </patternFill>
    </fill>
    <fill>
      <patternFill patternType="solid">
        <fgColor theme="0" tint="-0.249977111117893"/>
        <bgColor rgb="FFB7B7B7"/>
      </patternFill>
    </fill>
    <fill>
      <patternFill patternType="solid">
        <fgColor theme="9"/>
        <bgColor rgb="FF595959"/>
      </patternFill>
    </fill>
  </fills>
  <borders count="20">
    <border>
      <left/>
      <right/>
      <top/>
      <bottom/>
      <diagonal/>
    </border>
    <border>
      <left/>
      <right/>
      <top/>
      <bottom style="medium">
        <color rgb="FF1F4E78"/>
      </bottom>
      <diagonal/>
    </border>
    <border>
      <left/>
      <right/>
      <top/>
      <bottom style="thin">
        <color rgb="FFB7B7B7"/>
      </bottom>
      <diagonal/>
    </border>
    <border>
      <left style="thin">
        <color auto="1"/>
      </left>
      <right/>
      <top style="thin">
        <color auto="1"/>
      </top>
      <bottom style="thin">
        <color auto="1"/>
      </bottom>
      <diagonal/>
    </border>
    <border>
      <left/>
      <right/>
      <top style="hair">
        <color rgb="FF002060"/>
      </top>
      <bottom style="hair">
        <color rgb="FF002060"/>
      </bottom>
      <diagonal/>
    </border>
    <border>
      <left/>
      <right/>
      <top/>
      <bottom style="thin">
        <color rgb="FF002060"/>
      </bottom>
      <diagonal/>
    </border>
    <border>
      <left/>
      <right/>
      <top style="hair">
        <color auto="1"/>
      </top>
      <bottom/>
      <diagonal/>
    </border>
    <border>
      <left/>
      <right/>
      <top style="thin">
        <color auto="1"/>
      </top>
      <bottom/>
      <diagonal/>
    </border>
    <border>
      <left/>
      <right/>
      <top/>
      <bottom style="hair">
        <color auto="1"/>
      </bottom>
      <diagonal/>
    </border>
    <border>
      <left/>
      <right/>
      <top/>
      <bottom style="thin">
        <color auto="1"/>
      </bottom>
      <diagonal/>
    </border>
    <border>
      <left/>
      <right/>
      <top style="hair">
        <color rgb="FF002060"/>
      </top>
      <bottom/>
      <diagonal/>
    </border>
    <border>
      <left/>
      <right/>
      <top/>
      <bottom style="hair">
        <color rgb="FF002060"/>
      </bottom>
      <diagonal/>
    </border>
    <border>
      <left/>
      <right/>
      <top/>
      <bottom style="medium">
        <color rgb="FF407AAA"/>
      </bottom>
      <diagonal/>
    </border>
    <border>
      <left/>
      <right/>
      <top style="medium">
        <color rgb="FF407AAA"/>
      </top>
      <bottom/>
      <diagonal/>
    </border>
    <border>
      <left/>
      <right/>
      <top style="medium">
        <color auto="1"/>
      </top>
      <bottom style="thin">
        <color auto="1"/>
      </bottom>
      <diagonal/>
    </border>
    <border>
      <left/>
      <right/>
      <top/>
      <bottom style="medium">
        <color auto="1"/>
      </bottom>
      <diagonal/>
    </border>
    <border>
      <left/>
      <right/>
      <top style="thin">
        <color rgb="FF002060"/>
      </top>
      <bottom/>
      <diagonal/>
    </border>
    <border>
      <left/>
      <right/>
      <top style="thin">
        <color rgb="FF002060"/>
      </top>
      <bottom style="medium">
        <color rgb="FF002060"/>
      </bottom>
      <diagonal/>
    </border>
    <border>
      <left/>
      <right/>
      <top/>
      <bottom style="thin">
        <color theme="0"/>
      </bottom>
      <diagonal/>
    </border>
    <border>
      <left/>
      <right/>
      <top style="thin">
        <color rgb="FF002060"/>
      </top>
      <bottom style="thin">
        <color rgb="FF002060"/>
      </bottom>
      <diagonal/>
    </border>
  </borders>
  <cellStyleXfs count="2">
    <xf numFmtId="0" fontId="0" fillId="0" borderId="0"/>
    <xf numFmtId="0" fontId="49" fillId="0" borderId="0"/>
  </cellStyleXfs>
  <cellXfs count="290">
    <xf numFmtId="0" fontId="0" fillId="0" borderId="0" xfId="0"/>
    <xf numFmtId="0" fontId="29" fillId="17" borderId="0" xfId="0" applyFont="1" applyFill="1" applyAlignment="1">
      <alignment wrapText="1"/>
    </xf>
    <xf numFmtId="0" fontId="26" fillId="4" borderId="0" xfId="0" applyFont="1" applyFill="1" applyAlignment="1">
      <alignment horizontal="center"/>
    </xf>
    <xf numFmtId="0" fontId="7" fillId="0" borderId="0" xfId="0" applyFont="1" applyAlignment="1">
      <alignment horizontal="center"/>
    </xf>
    <xf numFmtId="0" fontId="0" fillId="0" borderId="0" xfId="0" applyAlignment="1">
      <alignment wrapText="1"/>
    </xf>
    <xf numFmtId="0" fontId="5" fillId="4" borderId="0" xfId="0" applyFont="1" applyFill="1" applyAlignment="1">
      <alignment horizontal="left"/>
    </xf>
    <xf numFmtId="0" fontId="17" fillId="0" borderId="13" xfId="0" applyFont="1" applyBorder="1" applyAlignment="1">
      <alignment horizontal="center"/>
    </xf>
    <xf numFmtId="0" fontId="19" fillId="11" borderId="0" xfId="0" applyFont="1" applyFill="1" applyAlignment="1">
      <alignment horizontal="center"/>
    </xf>
    <xf numFmtId="0" fontId="7" fillId="0" borderId="0" xfId="0" applyFont="1" applyAlignment="1">
      <alignment horizontal="left" vertical="center" wrapText="1"/>
    </xf>
    <xf numFmtId="0" fontId="14" fillId="8" borderId="0" xfId="0" applyFont="1" applyFill="1" applyAlignment="1">
      <alignment horizontal="center"/>
    </xf>
    <xf numFmtId="0" fontId="9" fillId="5" borderId="0" xfId="0" applyFont="1" applyFill="1" applyAlignment="1">
      <alignment horizontal="center"/>
    </xf>
    <xf numFmtId="0" fontId="0" fillId="0" borderId="0" xfId="0" applyAlignment="1">
      <alignment vertical="top" wrapText="1"/>
    </xf>
    <xf numFmtId="0" fontId="4" fillId="4" borderId="0" xfId="0" applyFont="1" applyFill="1" applyAlignment="1">
      <alignment vertical="top" wrapText="1"/>
    </xf>
    <xf numFmtId="0" fontId="2" fillId="2" borderId="0" xfId="0" applyFont="1" applyFill="1" applyAlignment="1">
      <alignment vertical="top" wrapText="1"/>
    </xf>
    <xf numFmtId="0" fontId="3" fillId="3" borderId="0" xfId="0" applyFont="1" applyFill="1" applyAlignment="1">
      <alignment vertical="top" wrapText="1"/>
    </xf>
    <xf numFmtId="0" fontId="0" fillId="0" borderId="0" xfId="0" applyAlignment="1">
      <alignment vertical="top" wrapText="1"/>
    </xf>
    <xf numFmtId="0" fontId="5" fillId="4" borderId="1" xfId="0" applyFont="1" applyFill="1" applyBorder="1" applyAlignment="1">
      <alignment vertical="top" wrapText="1"/>
    </xf>
    <xf numFmtId="0" fontId="6" fillId="2" borderId="2" xfId="0" applyFont="1" applyFill="1" applyBorder="1" applyAlignment="1">
      <alignment vertical="top" wrapText="1"/>
    </xf>
    <xf numFmtId="0" fontId="3" fillId="0" borderId="0" xfId="0" applyFont="1" applyAlignment="1">
      <alignment vertical="top" wrapText="1"/>
    </xf>
    <xf numFmtId="0" fontId="7" fillId="0" borderId="0" xfId="0" applyFont="1" applyAlignment="1">
      <alignment vertical="top" wrapText="1"/>
    </xf>
    <xf numFmtId="164" fontId="0" fillId="0" borderId="0" xfId="0" applyNumberFormat="1" applyAlignment="1">
      <alignment vertical="top" wrapText="1"/>
    </xf>
    <xf numFmtId="165" fontId="0" fillId="0" borderId="0" xfId="0" applyNumberFormat="1" applyAlignment="1">
      <alignment vertical="top" wrapText="1"/>
    </xf>
    <xf numFmtId="166" fontId="0" fillId="0" borderId="0" xfId="0" applyNumberFormat="1" applyAlignment="1">
      <alignment vertical="top" wrapText="1"/>
    </xf>
    <xf numFmtId="167" fontId="0" fillId="0" borderId="0" xfId="0" applyNumberFormat="1"/>
    <xf numFmtId="166" fontId="0" fillId="0" borderId="0" xfId="0" applyNumberFormat="1"/>
    <xf numFmtId="164" fontId="0" fillId="0" borderId="0" xfId="0" applyNumberFormat="1"/>
    <xf numFmtId="10" fontId="0" fillId="0" borderId="0" xfId="0" applyNumberFormat="1" applyAlignment="1">
      <alignment vertical="top" wrapText="1"/>
    </xf>
    <xf numFmtId="167" fontId="0" fillId="0" borderId="0" xfId="0" applyNumberFormat="1" applyAlignment="1">
      <alignment vertical="top" wrapText="1"/>
    </xf>
    <xf numFmtId="0" fontId="3" fillId="0" borderId="0" xfId="0" applyFont="1"/>
    <xf numFmtId="168" fontId="0" fillId="0" borderId="0" xfId="0" applyNumberFormat="1"/>
    <xf numFmtId="169" fontId="0" fillId="0" borderId="0" xfId="0" applyNumberFormat="1"/>
    <xf numFmtId="0" fontId="8" fillId="0" borderId="0" xfId="0" applyFont="1"/>
    <xf numFmtId="0" fontId="9" fillId="5" borderId="0" xfId="0" applyFont="1" applyFill="1"/>
    <xf numFmtId="17" fontId="9" fillId="5" borderId="0" xfId="0" applyNumberFormat="1" applyFont="1" applyFill="1"/>
    <xf numFmtId="17" fontId="9" fillId="5" borderId="0" xfId="0" applyNumberFormat="1" applyFont="1" applyFill="1" applyAlignment="1">
      <alignment horizontal="right"/>
    </xf>
    <xf numFmtId="0" fontId="0" fillId="0" borderId="3" xfId="0" applyBorder="1"/>
    <xf numFmtId="0" fontId="10" fillId="6" borderId="0" xfId="0" applyFont="1" applyFill="1"/>
    <xf numFmtId="17" fontId="10" fillId="6" borderId="0" xfId="0" applyNumberFormat="1" applyFont="1" applyFill="1"/>
    <xf numFmtId="17" fontId="10" fillId="6" borderId="0" xfId="0" applyNumberFormat="1" applyFont="1" applyFill="1" applyAlignment="1">
      <alignment horizontal="right"/>
    </xf>
    <xf numFmtId="0" fontId="7" fillId="7" borderId="0" xfId="0" applyFont="1" applyFill="1"/>
    <xf numFmtId="0" fontId="0" fillId="7" borderId="0" xfId="0" applyFill="1"/>
    <xf numFmtId="170" fontId="0" fillId="0" borderId="0" xfId="0" applyNumberFormat="1"/>
    <xf numFmtId="0" fontId="11" fillId="0" borderId="0" xfId="0" applyFont="1"/>
    <xf numFmtId="0" fontId="0" fillId="0" borderId="0" xfId="0" applyAlignment="1">
      <alignment horizontal="right"/>
    </xf>
    <xf numFmtId="9" fontId="11" fillId="0" borderId="0" xfId="0" applyNumberFormat="1" applyFont="1"/>
    <xf numFmtId="0" fontId="7" fillId="0" borderId="4" xfId="0" applyFont="1" applyBorder="1"/>
    <xf numFmtId="171" fontId="7" fillId="0" borderId="4" xfId="0" applyNumberFormat="1" applyFont="1" applyBorder="1"/>
    <xf numFmtId="171" fontId="0" fillId="0" borderId="0" xfId="0" applyNumberFormat="1"/>
    <xf numFmtId="10" fontId="11" fillId="0" borderId="0" xfId="0" applyNumberFormat="1" applyFont="1"/>
    <xf numFmtId="172" fontId="0" fillId="0" borderId="0" xfId="0" applyNumberFormat="1"/>
    <xf numFmtId="10" fontId="0" fillId="0" borderId="0" xfId="0" applyNumberFormat="1"/>
    <xf numFmtId="173" fontId="0" fillId="0" borderId="0" xfId="0" applyNumberFormat="1"/>
    <xf numFmtId="173" fontId="7" fillId="0" borderId="4" xfId="0" applyNumberFormat="1" applyFont="1" applyBorder="1"/>
    <xf numFmtId="173" fontId="7" fillId="0" borderId="0" xfId="0" applyNumberFormat="1" applyFont="1"/>
    <xf numFmtId="0" fontId="7" fillId="0" borderId="0" xfId="0" applyFont="1"/>
    <xf numFmtId="171" fontId="7" fillId="0" borderId="0" xfId="0" applyNumberFormat="1" applyFont="1"/>
    <xf numFmtId="17" fontId="12" fillId="0" borderId="0" xfId="0" applyNumberFormat="1" applyFont="1"/>
    <xf numFmtId="0" fontId="12" fillId="0" borderId="0" xfId="0" applyFont="1"/>
    <xf numFmtId="3" fontId="12" fillId="0" borderId="0" xfId="0" applyNumberFormat="1" applyFont="1"/>
    <xf numFmtId="0" fontId="13" fillId="0" borderId="0" xfId="0" applyFont="1"/>
    <xf numFmtId="0" fontId="14" fillId="8" borderId="0" xfId="0" applyFont="1" applyFill="1"/>
    <xf numFmtId="174" fontId="14" fillId="8" borderId="0" xfId="0" applyNumberFormat="1" applyFont="1" applyFill="1" applyAlignment="1">
      <alignment horizontal="center"/>
    </xf>
    <xf numFmtId="0" fontId="14" fillId="8" borderId="0" xfId="0" applyFont="1" applyFill="1" applyAlignment="1">
      <alignment horizontal="center"/>
    </xf>
    <xf numFmtId="9" fontId="0" fillId="0" borderId="0" xfId="0" applyNumberFormat="1"/>
    <xf numFmtId="173" fontId="14" fillId="9" borderId="0" xfId="0" applyNumberFormat="1" applyFont="1" applyFill="1"/>
    <xf numFmtId="173" fontId="14" fillId="10" borderId="0" xfId="0" applyNumberFormat="1" applyFont="1" applyFill="1"/>
    <xf numFmtId="10" fontId="7" fillId="0" borderId="0" xfId="0" applyNumberFormat="1" applyFont="1"/>
    <xf numFmtId="173" fontId="0" fillId="0" borderId="0" xfId="0" applyNumberFormat="1" applyAlignment="1">
      <alignment horizontal="center"/>
    </xf>
    <xf numFmtId="173" fontId="7" fillId="0" borderId="0" xfId="0" applyNumberFormat="1" applyFont="1" applyAlignment="1">
      <alignment horizontal="center"/>
    </xf>
    <xf numFmtId="9" fontId="7" fillId="0" borderId="0" xfId="0" applyNumberFormat="1" applyFont="1"/>
    <xf numFmtId="0" fontId="15" fillId="0" borderId="0" xfId="0" applyFont="1"/>
    <xf numFmtId="17" fontId="0" fillId="0" borderId="0" xfId="0" applyNumberFormat="1"/>
    <xf numFmtId="17" fontId="9" fillId="5" borderId="0" xfId="0" applyNumberFormat="1" applyFont="1" applyFill="1" applyAlignment="1">
      <alignment horizontal="center"/>
    </xf>
    <xf numFmtId="0" fontId="0" fillId="0" borderId="6" xfId="0" applyBorder="1"/>
    <xf numFmtId="10" fontId="0" fillId="0" borderId="6" xfId="0" applyNumberFormat="1" applyBorder="1"/>
    <xf numFmtId="10" fontId="0" fillId="0" borderId="7" xfId="0" applyNumberFormat="1" applyBorder="1"/>
    <xf numFmtId="0" fontId="0" fillId="0" borderId="7" xfId="0" applyBorder="1"/>
    <xf numFmtId="0" fontId="0" fillId="0" borderId="8" xfId="0" applyBorder="1"/>
    <xf numFmtId="10" fontId="0" fillId="0" borderId="8" xfId="0" applyNumberFormat="1" applyBorder="1"/>
    <xf numFmtId="10" fontId="0" fillId="0" borderId="9" xfId="0" applyNumberFormat="1" applyBorder="1"/>
    <xf numFmtId="0" fontId="0" fillId="0" borderId="9" xfId="0" applyBorder="1"/>
    <xf numFmtId="10" fontId="0" fillId="0" borderId="10" xfId="0" applyNumberFormat="1" applyBorder="1"/>
    <xf numFmtId="0" fontId="0" fillId="0" borderId="10" xfId="0" applyBorder="1"/>
    <xf numFmtId="10" fontId="0" fillId="0" borderId="11" xfId="0" applyNumberFormat="1" applyBorder="1"/>
    <xf numFmtId="0" fontId="0" fillId="0" borderId="11" xfId="0" applyBorder="1"/>
    <xf numFmtId="175" fontId="0" fillId="0" borderId="8" xfId="0" applyNumberFormat="1" applyBorder="1"/>
    <xf numFmtId="175" fontId="0" fillId="0" borderId="11" xfId="0" applyNumberFormat="1" applyBorder="1"/>
    <xf numFmtId="175" fontId="0" fillId="0" borderId="6" xfId="0" applyNumberFormat="1" applyBorder="1"/>
    <xf numFmtId="175" fontId="0" fillId="0" borderId="10" xfId="0" applyNumberFormat="1" applyBorder="1"/>
    <xf numFmtId="175" fontId="0" fillId="0" borderId="0" xfId="0" applyNumberFormat="1"/>
    <xf numFmtId="0" fontId="7" fillId="0" borderId="6" xfId="0" applyFont="1" applyBorder="1"/>
    <xf numFmtId="1" fontId="0" fillId="0" borderId="0" xfId="0" applyNumberFormat="1"/>
    <xf numFmtId="1" fontId="0" fillId="0" borderId="8" xfId="0" applyNumberFormat="1" applyBorder="1"/>
    <xf numFmtId="1" fontId="0" fillId="0" borderId="11" xfId="0" applyNumberFormat="1" applyBorder="1"/>
    <xf numFmtId="0" fontId="0" fillId="11" borderId="0" xfId="0" applyFill="1"/>
    <xf numFmtId="173" fontId="16" fillId="0" borderId="0" xfId="0" applyNumberFormat="1" applyFont="1"/>
    <xf numFmtId="0" fontId="17" fillId="0" borderId="0" xfId="0" applyFont="1"/>
    <xf numFmtId="0" fontId="0" fillId="0" borderId="12" xfId="0" applyBorder="1"/>
    <xf numFmtId="0" fontId="18" fillId="0" borderId="0" xfId="0" applyFont="1"/>
    <xf numFmtId="17" fontId="7" fillId="0" borderId="0" xfId="0" applyNumberFormat="1" applyFont="1"/>
    <xf numFmtId="0" fontId="7" fillId="12" borderId="0" xfId="0" applyFont="1" applyFill="1"/>
    <xf numFmtId="10" fontId="7" fillId="12" borderId="0" xfId="0" applyNumberFormat="1" applyFont="1" applyFill="1"/>
    <xf numFmtId="175" fontId="7" fillId="12" borderId="0" xfId="0" applyNumberFormat="1" applyFont="1" applyFill="1"/>
    <xf numFmtId="3" fontId="0" fillId="0" borderId="0" xfId="0" applyNumberFormat="1"/>
    <xf numFmtId="2" fontId="7" fillId="12" borderId="0" xfId="0" applyNumberFormat="1" applyFont="1" applyFill="1"/>
    <xf numFmtId="0" fontId="20" fillId="0" borderId="0" xfId="0" applyFont="1" applyAlignment="1">
      <alignment horizontal="right"/>
    </xf>
    <xf numFmtId="0" fontId="21" fillId="0" borderId="0" xfId="0" applyFont="1"/>
    <xf numFmtId="168" fontId="0" fillId="0" borderId="0" xfId="0" applyNumberFormat="1" applyAlignment="1">
      <alignment vertical="top" wrapText="1"/>
    </xf>
    <xf numFmtId="0" fontId="22" fillId="0" borderId="0" xfId="0" applyFont="1" applyAlignment="1">
      <alignment vertical="top" wrapText="1"/>
    </xf>
    <xf numFmtId="176" fontId="0" fillId="0" borderId="0" xfId="0" applyNumberFormat="1" applyAlignment="1">
      <alignment vertical="top" wrapText="1"/>
    </xf>
    <xf numFmtId="164" fontId="23" fillId="13" borderId="0" xfId="0" applyNumberFormat="1" applyFont="1" applyFill="1" applyAlignment="1">
      <alignment vertical="top" wrapText="1"/>
    </xf>
    <xf numFmtId="164" fontId="24" fillId="14" borderId="0" xfId="0" applyNumberFormat="1" applyFont="1" applyFill="1" applyAlignment="1">
      <alignment vertical="top" wrapText="1"/>
    </xf>
    <xf numFmtId="0" fontId="24" fillId="14" borderId="0" xfId="0" applyFont="1" applyFill="1" applyAlignment="1">
      <alignment vertical="top" wrapText="1"/>
    </xf>
    <xf numFmtId="0" fontId="25" fillId="0" borderId="0" xfId="0" applyFont="1" applyAlignment="1">
      <alignment vertical="top" wrapText="1"/>
    </xf>
    <xf numFmtId="0" fontId="10" fillId="5" borderId="0" xfId="0" applyFont="1" applyFill="1"/>
    <xf numFmtId="17" fontId="10" fillId="5" borderId="0" xfId="0" applyNumberFormat="1" applyFont="1" applyFill="1" applyAlignment="1">
      <alignment horizontal="center"/>
    </xf>
    <xf numFmtId="17" fontId="10" fillId="5" borderId="0" xfId="0" applyNumberFormat="1" applyFont="1" applyFill="1" applyAlignment="1">
      <alignment horizontal="right"/>
    </xf>
    <xf numFmtId="0" fontId="5" fillId="15" borderId="0" xfId="0" applyFont="1" applyFill="1" applyAlignment="1">
      <alignment horizontal="center"/>
    </xf>
    <xf numFmtId="0" fontId="0" fillId="0" borderId="0" xfId="0" applyAlignment="1">
      <alignment horizontal="left"/>
    </xf>
    <xf numFmtId="177" fontId="0" fillId="0" borderId="0" xfId="0" applyNumberFormat="1"/>
    <xf numFmtId="0" fontId="27" fillId="0" borderId="0" xfId="0" applyFont="1"/>
    <xf numFmtId="164" fontId="0" fillId="14" borderId="0" xfId="0" applyNumberFormat="1" applyFill="1" applyAlignment="1">
      <alignment horizontal="right"/>
    </xf>
    <xf numFmtId="168" fontId="0" fillId="0" borderId="0" xfId="0" applyNumberFormat="1" applyAlignment="1">
      <alignment horizontal="right"/>
    </xf>
    <xf numFmtId="164" fontId="28" fillId="14" borderId="0" xfId="0" applyNumberFormat="1" applyFont="1" applyFill="1" applyAlignment="1">
      <alignment horizontal="right"/>
    </xf>
    <xf numFmtId="178" fontId="0" fillId="0" borderId="0" xfId="0" applyNumberFormat="1" applyAlignment="1">
      <alignment horizontal="right"/>
    </xf>
    <xf numFmtId="0" fontId="0" fillId="16" borderId="0" xfId="0" applyFill="1" applyAlignment="1">
      <alignment horizontal="left"/>
    </xf>
    <xf numFmtId="179" fontId="0" fillId="0" borderId="0" xfId="0" applyNumberFormat="1"/>
    <xf numFmtId="168" fontId="0" fillId="16" borderId="0" xfId="0" applyNumberFormat="1" applyFill="1"/>
    <xf numFmtId="10" fontId="0" fillId="16" borderId="0" xfId="0" applyNumberFormat="1" applyFill="1"/>
    <xf numFmtId="180" fontId="0" fillId="0" borderId="0" xfId="0" applyNumberFormat="1" applyAlignment="1">
      <alignment horizontal="right"/>
    </xf>
    <xf numFmtId="164" fontId="0" fillId="14" borderId="0" xfId="0" applyNumberFormat="1" applyFill="1"/>
    <xf numFmtId="0" fontId="0" fillId="14" borderId="0" xfId="0" applyFill="1"/>
    <xf numFmtId="181" fontId="0" fillId="0" borderId="0" xfId="0" applyNumberFormat="1"/>
    <xf numFmtId="165" fontId="24" fillId="14" borderId="0" xfId="0" applyNumberFormat="1" applyFont="1" applyFill="1" applyAlignment="1">
      <alignment vertical="top" wrapText="1"/>
    </xf>
    <xf numFmtId="169" fontId="0" fillId="0" borderId="0" xfId="0" applyNumberFormat="1" applyAlignment="1">
      <alignment vertical="top" wrapText="1"/>
    </xf>
    <xf numFmtId="0" fontId="7" fillId="18" borderId="0" xfId="0" applyFont="1" applyFill="1"/>
    <xf numFmtId="0" fontId="0" fillId="18" borderId="0" xfId="0" applyFill="1"/>
    <xf numFmtId="0" fontId="30" fillId="0" borderId="0" xfId="0" applyFont="1"/>
    <xf numFmtId="0" fontId="31" fillId="0" borderId="0" xfId="0" applyFont="1"/>
    <xf numFmtId="0" fontId="0" fillId="0" borderId="7" xfId="0" applyBorder="1" applyAlignment="1">
      <alignment horizontal="right"/>
    </xf>
    <xf numFmtId="0" fontId="32" fillId="0" borderId="0" xfId="0" applyFont="1"/>
    <xf numFmtId="0" fontId="0" fillId="0" borderId="9" xfId="0" applyBorder="1" applyAlignment="1">
      <alignment horizontal="right"/>
    </xf>
    <xf numFmtId="0" fontId="0" fillId="0" borderId="9" xfId="0" applyBorder="1" applyAlignment="1">
      <alignment horizontal="center"/>
    </xf>
    <xf numFmtId="0" fontId="33" fillId="0" borderId="0" xfId="0" applyFont="1" applyAlignment="1">
      <alignment horizontal="left"/>
    </xf>
    <xf numFmtId="0" fontId="33" fillId="0" borderId="0" xfId="0" applyFont="1" applyAlignment="1">
      <alignment horizontal="right"/>
    </xf>
    <xf numFmtId="4" fontId="33" fillId="0" borderId="0" xfId="0" applyNumberFormat="1" applyFont="1" applyAlignment="1">
      <alignment horizontal="right"/>
    </xf>
    <xf numFmtId="10" fontId="33" fillId="0" borderId="0" xfId="0" applyNumberFormat="1" applyFont="1"/>
    <xf numFmtId="10" fontId="0" fillId="19" borderId="0" xfId="0" applyNumberFormat="1" applyFill="1"/>
    <xf numFmtId="2" fontId="0" fillId="0" borderId="0" xfId="0" applyNumberFormat="1"/>
    <xf numFmtId="0" fontId="7" fillId="0" borderId="7" xfId="0" applyFont="1" applyBorder="1"/>
    <xf numFmtId="2" fontId="0" fillId="0" borderId="7" xfId="0" applyNumberFormat="1" applyBorder="1"/>
    <xf numFmtId="0" fontId="7" fillId="0" borderId="9" xfId="0" applyFont="1" applyBorder="1"/>
    <xf numFmtId="2" fontId="0" fillId="0" borderId="9" xfId="0" applyNumberFormat="1" applyBorder="1"/>
    <xf numFmtId="10" fontId="34" fillId="0" borderId="0" xfId="0" applyNumberFormat="1" applyFont="1"/>
    <xf numFmtId="164" fontId="33" fillId="0" borderId="0" xfId="0" applyNumberFormat="1" applyFont="1"/>
    <xf numFmtId="10" fontId="0" fillId="19" borderId="6" xfId="0" applyNumberFormat="1" applyFill="1" applyBorder="1"/>
    <xf numFmtId="0" fontId="7" fillId="0" borderId="9" xfId="0" applyFont="1" applyBorder="1" applyAlignment="1">
      <alignment horizontal="right"/>
    </xf>
    <xf numFmtId="0" fontId="35" fillId="0" borderId="0" xfId="0" applyFont="1"/>
    <xf numFmtId="4" fontId="0" fillId="0" borderId="6" xfId="0" applyNumberFormat="1" applyBorder="1"/>
    <xf numFmtId="2" fontId="0" fillId="19" borderId="6" xfId="0" applyNumberFormat="1" applyFill="1" applyBorder="1"/>
    <xf numFmtId="0" fontId="7" fillId="0" borderId="0" xfId="0" applyFont="1" applyAlignment="1">
      <alignment horizontal="right"/>
    </xf>
    <xf numFmtId="0" fontId="36" fillId="0" borderId="0" xfId="0" applyFont="1" applyAlignment="1">
      <alignment vertical="top"/>
    </xf>
    <xf numFmtId="0" fontId="0" fillId="19" borderId="6" xfId="0" applyFill="1" applyBorder="1"/>
    <xf numFmtId="182" fontId="0" fillId="0" borderId="0" xfId="0" applyNumberFormat="1"/>
    <xf numFmtId="4" fontId="0" fillId="0" borderId="0" xfId="0" applyNumberFormat="1"/>
    <xf numFmtId="182" fontId="0" fillId="0" borderId="0" xfId="0" applyNumberFormat="1" applyAlignment="1">
      <alignment horizontal="left"/>
    </xf>
    <xf numFmtId="0" fontId="0" fillId="21" borderId="0" xfId="0" applyFill="1"/>
    <xf numFmtId="0" fontId="31" fillId="0" borderId="14" xfId="0" applyFont="1" applyBorder="1" applyAlignment="1">
      <alignment horizontal="center"/>
    </xf>
    <xf numFmtId="0" fontId="0" fillId="0" borderId="15" xfId="0" applyBorder="1"/>
    <xf numFmtId="0" fontId="14" fillId="0" borderId="0" xfId="0" applyFont="1"/>
    <xf numFmtId="0" fontId="7" fillId="0" borderId="9" xfId="0" applyFont="1" applyBorder="1" applyAlignment="1">
      <alignment horizontal="left"/>
    </xf>
    <xf numFmtId="0" fontId="7" fillId="0" borderId="0" xfId="0" applyFont="1" applyAlignment="1">
      <alignment horizontal="left"/>
    </xf>
    <xf numFmtId="183" fontId="0" fillId="0" borderId="0" xfId="0" applyNumberFormat="1" applyAlignment="1">
      <alignment horizontal="left"/>
    </xf>
    <xf numFmtId="2" fontId="7" fillId="0" borderId="0" xfId="0" applyNumberFormat="1" applyFont="1"/>
    <xf numFmtId="0" fontId="31" fillId="0" borderId="0" xfId="0" applyFont="1" applyAlignment="1">
      <alignment horizontal="center"/>
    </xf>
    <xf numFmtId="0" fontId="38" fillId="0" borderId="0" xfId="0" applyFont="1"/>
    <xf numFmtId="0" fontId="39" fillId="0" borderId="0" xfId="0" applyFont="1"/>
    <xf numFmtId="173" fontId="39" fillId="0" borderId="0" xfId="0" applyNumberFormat="1" applyFont="1"/>
    <xf numFmtId="0" fontId="40" fillId="0" borderId="0" xfId="0" applyFont="1"/>
    <xf numFmtId="0" fontId="0" fillId="8" borderId="0" xfId="0" applyFill="1"/>
    <xf numFmtId="10" fontId="0" fillId="0" borderId="0" xfId="0" applyNumberFormat="1" applyAlignment="1">
      <alignment horizontal="right"/>
    </xf>
    <xf numFmtId="184" fontId="0" fillId="0" borderId="0" xfId="0" applyNumberFormat="1"/>
    <xf numFmtId="10" fontId="41" fillId="0" borderId="0" xfId="0" applyNumberFormat="1" applyFont="1" applyAlignment="1">
      <alignment horizontal="right"/>
    </xf>
    <xf numFmtId="10" fontId="0" fillId="21" borderId="0" xfId="0" applyNumberFormat="1" applyFill="1"/>
    <xf numFmtId="10" fontId="42" fillId="0" borderId="0" xfId="0" applyNumberFormat="1" applyFont="1"/>
    <xf numFmtId="0" fontId="21" fillId="0" borderId="0" xfId="0" applyFont="1" applyAlignment="1">
      <alignment wrapText="1"/>
    </xf>
    <xf numFmtId="0" fontId="10" fillId="5" borderId="0" xfId="0" applyFont="1" applyFill="1" applyAlignment="1">
      <alignment horizontal="left"/>
    </xf>
    <xf numFmtId="17" fontId="10" fillId="5" borderId="0" xfId="0" applyNumberFormat="1" applyFont="1" applyFill="1" applyAlignment="1">
      <alignment horizontal="left"/>
    </xf>
    <xf numFmtId="0" fontId="7" fillId="0" borderId="16" xfId="0" applyFont="1" applyBorder="1"/>
    <xf numFmtId="167" fontId="7" fillId="0" borderId="16" xfId="0" applyNumberFormat="1" applyFont="1" applyBorder="1"/>
    <xf numFmtId="0" fontId="0" fillId="0" borderId="17" xfId="0" applyBorder="1"/>
    <xf numFmtId="185" fontId="0" fillId="0" borderId="17" xfId="0" applyNumberFormat="1" applyBorder="1"/>
    <xf numFmtId="0" fontId="7" fillId="0" borderId="17" xfId="0" applyFont="1" applyBorder="1"/>
    <xf numFmtId="167" fontId="7" fillId="0" borderId="17" xfId="0" applyNumberFormat="1" applyFont="1" applyBorder="1"/>
    <xf numFmtId="185" fontId="7" fillId="0" borderId="0" xfId="0" applyNumberFormat="1" applyFont="1"/>
    <xf numFmtId="10" fontId="0" fillId="0" borderId="17" xfId="0" applyNumberFormat="1" applyBorder="1"/>
    <xf numFmtId="185" fontId="0" fillId="0" borderId="0" xfId="0" applyNumberFormat="1"/>
    <xf numFmtId="10" fontId="43" fillId="0" borderId="0" xfId="0" applyNumberFormat="1" applyFont="1"/>
    <xf numFmtId="0" fontId="7" fillId="21" borderId="0" xfId="0" applyFont="1" applyFill="1"/>
    <xf numFmtId="10" fontId="7" fillId="21" borderId="0" xfId="0" applyNumberFormat="1" applyFont="1" applyFill="1"/>
    <xf numFmtId="186" fontId="10" fillId="5" borderId="0" xfId="0" applyNumberFormat="1" applyFont="1" applyFill="1"/>
    <xf numFmtId="187" fontId="10" fillId="5" borderId="0" xfId="0" applyNumberFormat="1" applyFont="1" applyFill="1"/>
    <xf numFmtId="0" fontId="44" fillId="0" borderId="0" xfId="0" applyFont="1"/>
    <xf numFmtId="167" fontId="34" fillId="16" borderId="0" xfId="0" applyNumberFormat="1" applyFont="1" applyFill="1"/>
    <xf numFmtId="0" fontId="0" fillId="16" borderId="0" xfId="0" applyFill="1"/>
    <xf numFmtId="164" fontId="28" fillId="13" borderId="0" xfId="0" applyNumberFormat="1" applyFont="1" applyFill="1"/>
    <xf numFmtId="167" fontId="0" fillId="16" borderId="0" xfId="0" applyNumberFormat="1" applyFill="1"/>
    <xf numFmtId="10" fontId="3" fillId="13" borderId="0" xfId="0" applyNumberFormat="1" applyFont="1" applyFill="1"/>
    <xf numFmtId="167" fontId="7" fillId="16" borderId="17" xfId="0" applyNumberFormat="1" applyFont="1" applyFill="1" applyBorder="1"/>
    <xf numFmtId="178" fontId="33" fillId="0" borderId="0" xfId="0" applyNumberFormat="1" applyFont="1"/>
    <xf numFmtId="178" fontId="0" fillId="0" borderId="0" xfId="0" applyNumberFormat="1"/>
    <xf numFmtId="0" fontId="0" fillId="16" borderId="17" xfId="0" applyFill="1" applyBorder="1"/>
    <xf numFmtId="167" fontId="0" fillId="0" borderId="17" xfId="0" applyNumberFormat="1" applyBorder="1"/>
    <xf numFmtId="164" fontId="45" fillId="13" borderId="0" xfId="0" applyNumberFormat="1" applyFont="1" applyFill="1"/>
    <xf numFmtId="164" fontId="3" fillId="13" borderId="0" xfId="0" applyNumberFormat="1" applyFont="1" applyFill="1"/>
    <xf numFmtId="164" fontId="0" fillId="13" borderId="0" xfId="0" applyNumberFormat="1" applyFill="1"/>
    <xf numFmtId="0" fontId="0" fillId="5" borderId="0" xfId="0" applyFill="1"/>
    <xf numFmtId="167" fontId="10" fillId="0" borderId="0" xfId="0" applyNumberFormat="1" applyFont="1" applyAlignment="1">
      <alignment horizontal="left"/>
    </xf>
    <xf numFmtId="164" fontId="46" fillId="0" borderId="0" xfId="0" applyNumberFormat="1" applyFont="1" applyAlignment="1">
      <alignment horizontal="right"/>
    </xf>
    <xf numFmtId="164" fontId="46" fillId="0" borderId="0" xfId="0" applyNumberFormat="1" applyFont="1"/>
    <xf numFmtId="164" fontId="7" fillId="0" borderId="0" xfId="0" applyNumberFormat="1" applyFont="1" applyAlignment="1">
      <alignment horizontal="left"/>
    </xf>
    <xf numFmtId="165" fontId="46" fillId="14" borderId="0" xfId="0" applyNumberFormat="1" applyFont="1" applyFill="1"/>
    <xf numFmtId="165" fontId="0" fillId="14" borderId="0" xfId="0" applyNumberFormat="1" applyFill="1"/>
    <xf numFmtId="167" fontId="7" fillId="0" borderId="0" xfId="0" applyNumberFormat="1" applyFont="1"/>
    <xf numFmtId="167" fontId="3" fillId="14" borderId="0" xfId="0" applyNumberFormat="1" applyFont="1" applyFill="1"/>
    <xf numFmtId="167" fontId="3" fillId="14" borderId="17" xfId="0" applyNumberFormat="1" applyFont="1" applyFill="1" applyBorder="1"/>
    <xf numFmtId="164" fontId="3" fillId="14" borderId="0" xfId="0" applyNumberFormat="1" applyFont="1" applyFill="1"/>
    <xf numFmtId="0" fontId="37" fillId="4" borderId="0" xfId="0" applyFont="1" applyFill="1"/>
    <xf numFmtId="0" fontId="0" fillId="4" borderId="0" xfId="0" applyFill="1"/>
    <xf numFmtId="10" fontId="46" fillId="0" borderId="0" xfId="0" applyNumberFormat="1" applyFont="1"/>
    <xf numFmtId="167" fontId="46" fillId="0" borderId="0" xfId="0" applyNumberFormat="1" applyFont="1"/>
    <xf numFmtId="167" fontId="34" fillId="0" borderId="0" xfId="0" applyNumberFormat="1" applyFont="1"/>
    <xf numFmtId="175" fontId="46" fillId="0" borderId="0" xfId="0" applyNumberFormat="1" applyFont="1"/>
    <xf numFmtId="175" fontId="34" fillId="0" borderId="0" xfId="0" applyNumberFormat="1" applyFont="1"/>
    <xf numFmtId="0" fontId="46" fillId="0" borderId="0" xfId="0" applyFont="1"/>
    <xf numFmtId="0" fontId="22" fillId="0" borderId="0" xfId="0" applyFont="1"/>
    <xf numFmtId="0" fontId="31" fillId="0" borderId="0" xfId="0" applyFont="1" applyAlignment="1">
      <alignment vertical="top" wrapText="1"/>
    </xf>
    <xf numFmtId="0" fontId="47" fillId="0" borderId="5" xfId="0" applyFont="1" applyBorder="1" applyAlignment="1">
      <alignment vertical="top" wrapText="1"/>
    </xf>
    <xf numFmtId="0" fontId="0" fillId="0" borderId="5" xfId="0" applyBorder="1" applyAlignment="1">
      <alignment vertical="top" wrapText="1"/>
    </xf>
    <xf numFmtId="0" fontId="0" fillId="5" borderId="0" xfId="0" applyFill="1" applyAlignment="1">
      <alignment vertical="top" wrapText="1"/>
    </xf>
    <xf numFmtId="0" fontId="10" fillId="5" borderId="18" xfId="0" applyFont="1" applyFill="1" applyBorder="1" applyAlignment="1">
      <alignment vertical="top" wrapText="1"/>
    </xf>
    <xf numFmtId="0" fontId="10" fillId="5" borderId="0" xfId="0" applyFont="1" applyFill="1" applyAlignment="1">
      <alignment vertical="top" wrapText="1"/>
    </xf>
    <xf numFmtId="0" fontId="0" fillId="16" borderId="4" xfId="0" applyFill="1" applyBorder="1" applyAlignment="1">
      <alignment vertical="top" wrapText="1"/>
    </xf>
    <xf numFmtId="0" fontId="10" fillId="6" borderId="0" xfId="0" applyFont="1" applyFill="1" applyAlignment="1">
      <alignment vertical="top" wrapText="1"/>
    </xf>
    <xf numFmtId="0" fontId="10" fillId="0" borderId="0" xfId="0" applyFont="1" applyAlignment="1">
      <alignment vertical="top" wrapText="1"/>
    </xf>
    <xf numFmtId="3" fontId="0" fillId="16" borderId="4" xfId="0" applyNumberFormat="1" applyFill="1" applyBorder="1" applyAlignment="1">
      <alignment vertical="top" wrapText="1"/>
    </xf>
    <xf numFmtId="2" fontId="0" fillId="16" borderId="4" xfId="0" applyNumberFormat="1" applyFill="1" applyBorder="1" applyAlignment="1">
      <alignment vertical="top" wrapText="1"/>
    </xf>
    <xf numFmtId="0" fontId="10" fillId="16" borderId="4" xfId="0" applyFont="1" applyFill="1" applyBorder="1" applyAlignment="1">
      <alignment vertical="top" wrapText="1"/>
    </xf>
    <xf numFmtId="178" fontId="0" fillId="16" borderId="4" xfId="0" applyNumberFormat="1" applyFill="1" applyBorder="1" applyAlignment="1">
      <alignment vertical="top" wrapText="1"/>
    </xf>
    <xf numFmtId="0" fontId="0" fillId="0" borderId="4" xfId="0" applyBorder="1" applyAlignment="1">
      <alignment vertical="top" wrapText="1"/>
    </xf>
    <xf numFmtId="3" fontId="0" fillId="0" borderId="4" xfId="0" applyNumberFormat="1" applyBorder="1" applyAlignment="1">
      <alignment vertical="top" wrapText="1"/>
    </xf>
    <xf numFmtId="178" fontId="0" fillId="0" borderId="4" xfId="0" applyNumberFormat="1" applyBorder="1" applyAlignment="1">
      <alignment vertical="top" wrapText="1"/>
    </xf>
    <xf numFmtId="0" fontId="0" fillId="16" borderId="16" xfId="0" applyFill="1" applyBorder="1" applyAlignment="1">
      <alignment vertical="top" wrapText="1"/>
    </xf>
    <xf numFmtId="178" fontId="0" fillId="16" borderId="16" xfId="0" applyNumberFormat="1" applyFill="1" applyBorder="1" applyAlignment="1">
      <alignment vertical="top" wrapText="1"/>
    </xf>
    <xf numFmtId="0" fontId="0" fillId="16" borderId="0" xfId="0" applyFill="1" applyAlignment="1">
      <alignment vertical="top" wrapText="1"/>
    </xf>
    <xf numFmtId="178" fontId="0" fillId="16" borderId="0" xfId="0" applyNumberFormat="1" applyFill="1" applyAlignment="1">
      <alignment vertical="top" wrapText="1"/>
    </xf>
    <xf numFmtId="0" fontId="7" fillId="16" borderId="0" xfId="0" applyFont="1" applyFill="1" applyAlignment="1">
      <alignment vertical="top" wrapText="1"/>
    </xf>
    <xf numFmtId="178" fontId="7" fillId="16" borderId="0" xfId="0" applyNumberFormat="1" applyFont="1" applyFill="1" applyAlignment="1">
      <alignment vertical="top" wrapText="1"/>
    </xf>
    <xf numFmtId="0" fontId="0" fillId="16" borderId="5" xfId="0" applyFill="1" applyBorder="1" applyAlignment="1">
      <alignment vertical="top" wrapText="1"/>
    </xf>
    <xf numFmtId="178" fontId="0" fillId="16" borderId="5" xfId="0" applyNumberFormat="1" applyFill="1" applyBorder="1" applyAlignment="1">
      <alignment vertical="top" wrapText="1"/>
    </xf>
    <xf numFmtId="0" fontId="14" fillId="5" borderId="5" xfId="0" applyFont="1" applyFill="1" applyBorder="1" applyAlignment="1">
      <alignment vertical="top" wrapText="1"/>
    </xf>
    <xf numFmtId="3" fontId="0" fillId="0" borderId="0" xfId="0" applyNumberFormat="1" applyAlignment="1">
      <alignment vertical="top" wrapText="1"/>
    </xf>
    <xf numFmtId="0" fontId="7" fillId="21" borderId="19" xfId="0" applyFont="1" applyFill="1" applyBorder="1" applyAlignment="1">
      <alignment vertical="top" wrapText="1"/>
    </xf>
    <xf numFmtId="176" fontId="7" fillId="21" borderId="19" xfId="0" applyNumberFormat="1" applyFont="1" applyFill="1" applyBorder="1" applyAlignment="1">
      <alignment vertical="top" wrapText="1"/>
    </xf>
    <xf numFmtId="176" fontId="7" fillId="0" borderId="0" xfId="0" applyNumberFormat="1" applyFont="1" applyAlignment="1">
      <alignment vertical="top" wrapText="1"/>
    </xf>
    <xf numFmtId="0" fontId="14" fillId="5" borderId="0" xfId="0" applyFont="1" applyFill="1" applyAlignment="1">
      <alignment vertical="top" wrapText="1"/>
    </xf>
    <xf numFmtId="176" fontId="34" fillId="0" borderId="0" xfId="0" applyNumberFormat="1" applyFont="1" applyAlignment="1">
      <alignment vertical="top" wrapText="1"/>
    </xf>
    <xf numFmtId="0" fontId="48" fillId="0" borderId="0" xfId="0" applyFont="1" applyAlignment="1">
      <alignment vertical="top" wrapText="1"/>
    </xf>
    <xf numFmtId="173" fontId="29" fillId="17" borderId="0" xfId="0" applyNumberFormat="1" applyFont="1" applyFill="1" applyAlignment="1">
      <alignment wrapText="1"/>
    </xf>
    <xf numFmtId="174" fontId="14" fillId="8" borderId="0" xfId="0" applyNumberFormat="1" applyFont="1" applyFill="1"/>
    <xf numFmtId="174" fontId="15" fillId="0" borderId="0" xfId="0" applyNumberFormat="1" applyFont="1"/>
    <xf numFmtId="173" fontId="10" fillId="5" borderId="0" xfId="0" applyNumberFormat="1" applyFont="1" applyFill="1"/>
    <xf numFmtId="0" fontId="14" fillId="5" borderId="0" xfId="0" applyFont="1" applyFill="1"/>
    <xf numFmtId="17" fontId="14" fillId="5" borderId="0" xfId="0" applyNumberFormat="1" applyFont="1" applyFill="1"/>
    <xf numFmtId="17" fontId="14" fillId="0" borderId="0" xfId="0" applyNumberFormat="1" applyFont="1"/>
    <xf numFmtId="0" fontId="7" fillId="0" borderId="19" xfId="0" applyFont="1" applyBorder="1"/>
    <xf numFmtId="167" fontId="7" fillId="0" borderId="19" xfId="0" applyNumberFormat="1" applyFont="1" applyBorder="1"/>
    <xf numFmtId="167" fontId="0" fillId="0" borderId="16" xfId="0" applyNumberFormat="1" applyBorder="1"/>
    <xf numFmtId="17" fontId="10" fillId="5" borderId="0" xfId="0" applyNumberFormat="1" applyFont="1" applyFill="1"/>
    <xf numFmtId="0" fontId="14" fillId="20" borderId="0" xfId="0" applyFont="1" applyFill="1" applyAlignment="1">
      <alignment horizontal="center"/>
    </xf>
    <xf numFmtId="0" fontId="31" fillId="0" borderId="14" xfId="0" applyFont="1" applyBorder="1" applyAlignment="1">
      <alignment horizontal="center"/>
    </xf>
    <xf numFmtId="0" fontId="37" fillId="20" borderId="0" xfId="0" applyFont="1" applyFill="1" applyAlignment="1">
      <alignment horizontal="center"/>
    </xf>
    <xf numFmtId="0" fontId="31" fillId="0" borderId="0" xfId="0" applyFont="1" applyAlignment="1">
      <alignment horizontal="center"/>
    </xf>
    <xf numFmtId="0" fontId="21" fillId="0" borderId="0" xfId="0" applyFont="1" applyAlignment="1">
      <alignment vertical="top" wrapText="1"/>
    </xf>
    <xf numFmtId="0" fontId="29" fillId="17" borderId="0" xfId="0" applyFont="1" applyFill="1" applyAlignment="1">
      <alignment vertical="top" wrapText="1"/>
    </xf>
    <xf numFmtId="0" fontId="10" fillId="5" borderId="18" xfId="0" applyFont="1" applyFill="1" applyBorder="1" applyAlignment="1">
      <alignment vertical="top" wrapText="1"/>
    </xf>
    <xf numFmtId="173" fontId="14" fillId="22" borderId="0" xfId="0" applyNumberFormat="1" applyFont="1" applyFill="1" applyAlignment="1">
      <alignment horizontal="center"/>
    </xf>
    <xf numFmtId="0" fontId="0" fillId="0" borderId="0" xfId="0" applyAlignment="1">
      <alignment horizontal="right" vertical="top" wrapText="1"/>
    </xf>
    <xf numFmtId="0" fontId="50" fillId="0" borderId="5" xfId="0" applyFont="1" applyBorder="1"/>
    <xf numFmtId="17" fontId="50" fillId="0" borderId="5" xfId="0" applyNumberFormat="1" applyFont="1" applyBorder="1"/>
  </cellXfs>
  <cellStyles count="2">
    <cellStyle name="Normal" xfId="0" builtinId="0"/>
    <cellStyle name="Normal 3" xfId="1" xr:uid="{00000000-0005-0000-0000-000006000000}"/>
  </cellStyles>
  <dxfs count="1">
    <dxf>
      <font>
        <b/>
        <color rgb="FFFFFFFF"/>
      </font>
      <fill>
        <patternFill>
          <bgColor theme="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96FF"/>
      <rgbColor rgb="FFC00000"/>
      <rgbColor rgb="FF008000"/>
      <rgbColor rgb="FF22222F"/>
      <rgbColor rgb="FF9C6500"/>
      <rgbColor rgb="FF800080"/>
      <rgbColor rgb="FF407AAA"/>
      <rgbColor rgb="FFBFBFBF"/>
      <rgbColor rgb="FF808080"/>
      <rgbColor rgb="FF78AAD6"/>
      <rgbColor rgb="FF7D3C4A"/>
      <rgbColor rgb="FFFFF2CC"/>
      <rgbColor rgb="FFDEF5FA"/>
      <rgbColor rgb="FF595959"/>
      <rgbColor rgb="FFF3A276"/>
      <rgbColor rgb="FF0275D8"/>
      <rgbColor rgb="FFD9D9D9"/>
      <rgbColor rgb="FF006100"/>
      <rgbColor rgb="FFFF00FF"/>
      <rgbColor rgb="FFFFFF00"/>
      <rgbColor rgb="FF00FFFF"/>
      <rgbColor rgb="FF800080"/>
      <rgbColor rgb="FFDA1F28"/>
      <rgbColor rgb="FF1F4E78"/>
      <rgbColor rgb="FF0000FF"/>
      <rgbColor rgb="FF00B0F0"/>
      <rgbColor rgb="FFD9EAF7"/>
      <rgbColor rgb="FFE2F0D9"/>
      <rgbColor rgb="FFF2F2F2"/>
      <rgbColor rgb="FF7ACBE0"/>
      <rgbColor rgb="FFEAF2F8"/>
      <rgbColor rgb="FF5B9BD5"/>
      <rgbColor rgb="FFE7E6E6"/>
      <rgbColor rgb="FF2E75B6"/>
      <rgbColor rgb="FF2DA2BF"/>
      <rgbColor rgb="FF99CC00"/>
      <rgbColor rgb="FFFFCC00"/>
      <rgbColor rgb="FFFF8119"/>
      <rgbColor rgb="FFBF8F00"/>
      <rgbColor rgb="FF666666"/>
      <rgbColor rgb="FFB7B7B7"/>
      <rgbColor rgb="FF002060"/>
      <rgbColor rgb="FF548235"/>
      <rgbColor rgb="FF1F1F1F"/>
      <rgbColor rgb="FF212529"/>
      <rgbColor rgb="FFB54A10"/>
      <rgbColor rgb="FF7030A0"/>
      <rgbColor rgb="FF1F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07AAA"/>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'[1]Dupont Analysis'!$F$68:$I$68</c:f>
              <c:numCache>
                <c:formatCode>General</c:formatCode>
                <c:ptCount val="4"/>
                <c:pt idx="0">
                  <c:v>45016</c:v>
                </c:pt>
                <c:pt idx="1">
                  <c:v>45382</c:v>
                </c:pt>
                <c:pt idx="2">
                  <c:v>45747</c:v>
                </c:pt>
                <c:pt idx="3">
                  <c:v>46112</c:v>
                </c:pt>
              </c:numCache>
            </c:numRef>
          </c:cat>
          <c:val>
            <c:numRef>
              <c:f>'[1]Dupont Analysis'!$F$79:$I$79</c:f>
              <c:numCache>
                <c:formatCode>General</c:formatCode>
                <c:ptCount val="4"/>
                <c:pt idx="0">
                  <c:v>146767</c:v>
                </c:pt>
                <c:pt idx="1">
                  <c:v>153670</c:v>
                </c:pt>
                <c:pt idx="2">
                  <c:v>162990</c:v>
                </c:pt>
                <c:pt idx="3">
                  <c:v>178650</c:v>
                </c:pt>
              </c:numCache>
            </c:numRef>
          </c:val>
          <c:extLst>
            <c:ext xmlns:c16="http://schemas.microsoft.com/office/drawing/2014/chart" uri="{C3380CC4-5D6E-409C-BE32-E72D297353CC}">
              <c16:uniqueId val="{00000000-3EB8-8040-9300-4EAB7FB8A49E}"/>
            </c:ext>
          </c:extLst>
        </c:ser>
        <c:dLbls>
          <c:showLegendKey val="0"/>
          <c:showVal val="0"/>
          <c:showCatName val="0"/>
          <c:showSerName val="0"/>
          <c:showPercent val="0"/>
          <c:showBubbleSize val="0"/>
        </c:dLbls>
        <c:gapWidth val="219"/>
        <c:overlap val="-27"/>
        <c:axId val="1166142399"/>
        <c:axId val="1166133887"/>
      </c:barChart>
      <c:catAx>
        <c:axId val="11661423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6133887"/>
        <c:crosses val="autoZero"/>
        <c:auto val="1"/>
        <c:lblAlgn val="ctr"/>
        <c:lblOffset val="100"/>
        <c:noMultiLvlLbl val="0"/>
      </c:catAx>
      <c:valAx>
        <c:axId val="1166133887"/>
        <c:scaling>
          <c:orientation val="minMax"/>
        </c:scaling>
        <c:delete val="1"/>
        <c:axPos val="l"/>
        <c:numFmt formatCode="General" sourceLinked="1"/>
        <c:majorTickMark val="none"/>
        <c:minorTickMark val="none"/>
        <c:tickLblPos val="nextTo"/>
        <c:crossAx val="116614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07AAA"/>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'[1]Dupont Analysis'!$F$68:$I$68</c:f>
              <c:numCache>
                <c:formatCode>General</c:formatCode>
                <c:ptCount val="4"/>
                <c:pt idx="0">
                  <c:v>45016</c:v>
                </c:pt>
                <c:pt idx="1">
                  <c:v>45382</c:v>
                </c:pt>
                <c:pt idx="2">
                  <c:v>45747</c:v>
                </c:pt>
                <c:pt idx="3">
                  <c:v>46112</c:v>
                </c:pt>
              </c:numCache>
            </c:numRef>
          </c:cat>
          <c:val>
            <c:numRef>
              <c:f>'[1]Dupont Analysis'!$F$69:$I$69</c:f>
              <c:numCache>
                <c:formatCode>General</c:formatCode>
                <c:ptCount val="4"/>
                <c:pt idx="0">
                  <c:v>24095</c:v>
                </c:pt>
                <c:pt idx="1">
                  <c:v>26233</c:v>
                </c:pt>
                <c:pt idx="2">
                  <c:v>26713</c:v>
                </c:pt>
                <c:pt idx="3">
                  <c:v>29440</c:v>
                </c:pt>
              </c:numCache>
            </c:numRef>
          </c:val>
          <c:extLst>
            <c:ext xmlns:c16="http://schemas.microsoft.com/office/drawing/2014/chart" uri="{C3380CC4-5D6E-409C-BE32-E72D297353CC}">
              <c16:uniqueId val="{00000000-6FA1-3441-AD63-0A616EB0A81F}"/>
            </c:ext>
          </c:extLst>
        </c:ser>
        <c:dLbls>
          <c:showLegendKey val="0"/>
          <c:showVal val="0"/>
          <c:showCatName val="0"/>
          <c:showSerName val="0"/>
          <c:showPercent val="0"/>
          <c:showBubbleSize val="0"/>
        </c:dLbls>
        <c:gapWidth val="219"/>
        <c:overlap val="-27"/>
        <c:axId val="1166142399"/>
        <c:axId val="1166133887"/>
      </c:barChart>
      <c:catAx>
        <c:axId val="11661423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6133887"/>
        <c:crosses val="autoZero"/>
        <c:auto val="1"/>
        <c:lblAlgn val="ctr"/>
        <c:lblOffset val="100"/>
        <c:noMultiLvlLbl val="0"/>
      </c:catAx>
      <c:valAx>
        <c:axId val="1166133887"/>
        <c:scaling>
          <c:orientation val="minMax"/>
        </c:scaling>
        <c:delete val="1"/>
        <c:axPos val="l"/>
        <c:numFmt formatCode="General" sourceLinked="1"/>
        <c:majorTickMark val="none"/>
        <c:minorTickMark val="none"/>
        <c:tickLblPos val="nextTo"/>
        <c:crossAx val="116614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07AAA"/>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'[1]Dupont Analysis'!$F$90:$I$90</c:f>
              <c:numCache>
                <c:formatCode>General</c:formatCode>
                <c:ptCount val="4"/>
                <c:pt idx="0">
                  <c:v>45016</c:v>
                </c:pt>
                <c:pt idx="1">
                  <c:v>45382</c:v>
                </c:pt>
                <c:pt idx="2">
                  <c:v>45747</c:v>
                </c:pt>
                <c:pt idx="3">
                  <c:v>46112</c:v>
                </c:pt>
              </c:numCache>
            </c:numRef>
          </c:cat>
          <c:val>
            <c:numRef>
              <c:f>'[1]Dupont Analysis'!$F$102:$I$102</c:f>
              <c:numCache>
                <c:formatCode>General</c:formatCode>
                <c:ptCount val="4"/>
                <c:pt idx="0">
                  <c:v>120662.5</c:v>
                </c:pt>
                <c:pt idx="1">
                  <c:v>130308</c:v>
                </c:pt>
                <c:pt idx="2">
                  <c:v>141907.5</c:v>
                </c:pt>
                <c:pt idx="3">
                  <c:v>151041.5</c:v>
                </c:pt>
              </c:numCache>
            </c:numRef>
          </c:val>
          <c:extLst>
            <c:ext xmlns:c16="http://schemas.microsoft.com/office/drawing/2014/chart" uri="{C3380CC4-5D6E-409C-BE32-E72D297353CC}">
              <c16:uniqueId val="{00000000-23E6-3B4B-945A-44347C21E60F}"/>
            </c:ext>
          </c:extLst>
        </c:ser>
        <c:dLbls>
          <c:showLegendKey val="0"/>
          <c:showVal val="0"/>
          <c:showCatName val="0"/>
          <c:showSerName val="0"/>
          <c:showPercent val="0"/>
          <c:showBubbleSize val="0"/>
        </c:dLbls>
        <c:gapWidth val="219"/>
        <c:overlap val="-27"/>
        <c:axId val="1166142399"/>
        <c:axId val="1166133887"/>
      </c:barChart>
      <c:catAx>
        <c:axId val="11661423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6133887"/>
        <c:crosses val="autoZero"/>
        <c:auto val="1"/>
        <c:lblAlgn val="ctr"/>
        <c:lblOffset val="100"/>
        <c:noMultiLvlLbl val="0"/>
      </c:catAx>
      <c:valAx>
        <c:axId val="1166133887"/>
        <c:scaling>
          <c:orientation val="minMax"/>
        </c:scaling>
        <c:delete val="1"/>
        <c:axPos val="l"/>
        <c:numFmt formatCode="General" sourceLinked="1"/>
        <c:majorTickMark val="none"/>
        <c:minorTickMark val="none"/>
        <c:tickLblPos val="nextTo"/>
        <c:crossAx val="116614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07AAA"/>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'[1]Dupont Analysis'!$F$90:$I$90</c:f>
              <c:numCache>
                <c:formatCode>General</c:formatCode>
                <c:ptCount val="4"/>
                <c:pt idx="0">
                  <c:v>45016</c:v>
                </c:pt>
                <c:pt idx="1">
                  <c:v>45382</c:v>
                </c:pt>
                <c:pt idx="2">
                  <c:v>45747</c:v>
                </c:pt>
                <c:pt idx="3">
                  <c:v>46112</c:v>
                </c:pt>
              </c:numCache>
            </c:numRef>
          </c:cat>
          <c:val>
            <c:numRef>
              <c:f>'[1]Dupont Analysis'!$F$93:$I$93</c:f>
              <c:numCache>
                <c:formatCode>General</c:formatCode>
                <c:ptCount val="4"/>
                <c:pt idx="0">
                  <c:v>0.19968921578783796</c:v>
                </c:pt>
                <c:pt idx="1">
                  <c:v>0.20131534518218375</c:v>
                </c:pt>
                <c:pt idx="2">
                  <c:v>0.18824234096154185</c:v>
                </c:pt>
                <c:pt idx="3">
                  <c:v>0.19491331852504112</c:v>
                </c:pt>
              </c:numCache>
            </c:numRef>
          </c:val>
          <c:extLst>
            <c:ext xmlns:c16="http://schemas.microsoft.com/office/drawing/2014/chart" uri="{C3380CC4-5D6E-409C-BE32-E72D297353CC}">
              <c16:uniqueId val="{00000000-3DA1-004E-A058-CDBD4479B26B}"/>
            </c:ext>
          </c:extLst>
        </c:ser>
        <c:dLbls>
          <c:showLegendKey val="0"/>
          <c:showVal val="0"/>
          <c:showCatName val="0"/>
          <c:showSerName val="0"/>
          <c:showPercent val="0"/>
          <c:showBubbleSize val="0"/>
        </c:dLbls>
        <c:gapWidth val="219"/>
        <c:overlap val="-27"/>
        <c:axId val="1166142399"/>
        <c:axId val="1166133887"/>
      </c:barChart>
      <c:catAx>
        <c:axId val="11661423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6133887"/>
        <c:crosses val="autoZero"/>
        <c:auto val="1"/>
        <c:lblAlgn val="ctr"/>
        <c:lblOffset val="100"/>
        <c:noMultiLvlLbl val="0"/>
      </c:catAx>
      <c:valAx>
        <c:axId val="1166133887"/>
        <c:scaling>
          <c:orientation val="minMax"/>
        </c:scaling>
        <c:delete val="1"/>
        <c:axPos val="l"/>
        <c:numFmt formatCode="General" sourceLinked="1"/>
        <c:majorTickMark val="none"/>
        <c:minorTickMark val="none"/>
        <c:tickLblPos val="nextTo"/>
        <c:crossAx val="116614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07AAA"/>
            </a:solidFill>
            <a:ln>
              <a:noFill/>
            </a:ln>
            <a:effectLst/>
          </c:spPr>
          <c:invertIfNegative val="0"/>
          <c:dLbls>
            <c:numFmt formatCode="#,##0.00\x"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'[1]Dupont Analysis'!$F$74:$I$74</c:f>
              <c:numCache>
                <c:formatCode>General</c:formatCode>
                <c:ptCount val="4"/>
                <c:pt idx="0">
                  <c:v>45016</c:v>
                </c:pt>
                <c:pt idx="1">
                  <c:v>45382</c:v>
                </c:pt>
                <c:pt idx="2">
                  <c:v>45747</c:v>
                </c:pt>
                <c:pt idx="3">
                  <c:v>46112</c:v>
                </c:pt>
              </c:numCache>
            </c:numRef>
          </c:cat>
          <c:val>
            <c:numRef>
              <c:f>'[1]Dupont Analysis'!$F$85:$I$85</c:f>
              <c:numCache>
                <c:formatCode>General</c:formatCode>
                <c:ptCount val="4"/>
                <c:pt idx="0">
                  <c:v>1.6007548571542283</c:v>
                </c:pt>
                <c:pt idx="1">
                  <c:v>1.5937574530799949</c:v>
                </c:pt>
                <c:pt idx="2">
                  <c:v>1.5430263029130014</c:v>
                </c:pt>
                <c:pt idx="3">
                  <c:v>1.6011183547993852</c:v>
                </c:pt>
              </c:numCache>
            </c:numRef>
          </c:val>
          <c:extLst>
            <c:ext xmlns:c16="http://schemas.microsoft.com/office/drawing/2014/chart" uri="{C3380CC4-5D6E-409C-BE32-E72D297353CC}">
              <c16:uniqueId val="{00000000-C032-5945-8612-08ACFCF804CD}"/>
            </c:ext>
          </c:extLst>
        </c:ser>
        <c:dLbls>
          <c:showLegendKey val="0"/>
          <c:showVal val="0"/>
          <c:showCatName val="0"/>
          <c:showSerName val="0"/>
          <c:showPercent val="0"/>
          <c:showBubbleSize val="0"/>
        </c:dLbls>
        <c:gapWidth val="219"/>
        <c:overlap val="-27"/>
        <c:axId val="1166142399"/>
        <c:axId val="1166133887"/>
      </c:barChart>
      <c:catAx>
        <c:axId val="11661423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6133887"/>
        <c:crosses val="autoZero"/>
        <c:auto val="1"/>
        <c:lblAlgn val="ctr"/>
        <c:lblOffset val="100"/>
        <c:noMultiLvlLbl val="0"/>
      </c:catAx>
      <c:valAx>
        <c:axId val="1166133887"/>
        <c:scaling>
          <c:orientation val="minMax"/>
        </c:scaling>
        <c:delete val="1"/>
        <c:axPos val="l"/>
        <c:numFmt formatCode="General" sourceLinked="1"/>
        <c:majorTickMark val="none"/>
        <c:minorTickMark val="none"/>
        <c:tickLblPos val="nextTo"/>
        <c:crossAx val="116614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826086956521741E-2"/>
          <c:y val="0.24546481889014454"/>
          <c:w val="0.90434782608695652"/>
          <c:h val="0.62162584600233206"/>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'[1]Dupont Analysis'!$F$68:$I$68</c:f>
              <c:numCache>
                <c:formatCode>General</c:formatCode>
                <c:ptCount val="4"/>
                <c:pt idx="0">
                  <c:v>45016</c:v>
                </c:pt>
                <c:pt idx="1">
                  <c:v>45382</c:v>
                </c:pt>
                <c:pt idx="2">
                  <c:v>45747</c:v>
                </c:pt>
                <c:pt idx="3">
                  <c:v>46112</c:v>
                </c:pt>
              </c:numCache>
            </c:numRef>
          </c:cat>
          <c:val>
            <c:numRef>
              <c:f>'[1]Dupont Analysis'!$F$87:$I$87</c:f>
              <c:numCache>
                <c:formatCode>General</c:formatCode>
                <c:ptCount val="4"/>
                <c:pt idx="0">
                  <c:v>0.31965348209370048</c:v>
                </c:pt>
                <c:pt idx="1">
                  <c:v>0.32084783180347726</c:v>
                </c:pt>
                <c:pt idx="2">
                  <c:v>0.29046288342557652</c:v>
                </c:pt>
                <c:pt idx="3">
                  <c:v>0.31207929188530242</c:v>
                </c:pt>
              </c:numCache>
            </c:numRef>
          </c:val>
          <c:extLst>
            <c:ext xmlns:c16="http://schemas.microsoft.com/office/drawing/2014/chart" uri="{C3380CC4-5D6E-409C-BE32-E72D297353CC}">
              <c16:uniqueId val="{00000000-79E5-BD42-8B0F-8288CA3808EE}"/>
            </c:ext>
          </c:extLst>
        </c:ser>
        <c:dLbls>
          <c:showLegendKey val="0"/>
          <c:showVal val="0"/>
          <c:showCatName val="0"/>
          <c:showSerName val="0"/>
          <c:showPercent val="0"/>
          <c:showBubbleSize val="0"/>
        </c:dLbls>
        <c:gapWidth val="219"/>
        <c:overlap val="-27"/>
        <c:axId val="562652351"/>
        <c:axId val="1195097407"/>
      </c:barChart>
      <c:catAx>
        <c:axId val="56265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097407"/>
        <c:crosses val="autoZero"/>
        <c:auto val="1"/>
        <c:lblAlgn val="ctr"/>
        <c:lblOffset val="100"/>
        <c:noMultiLvlLbl val="0"/>
      </c:catAx>
      <c:valAx>
        <c:axId val="1195097407"/>
        <c:scaling>
          <c:orientation val="minMax"/>
        </c:scaling>
        <c:delete val="1"/>
        <c:axPos val="l"/>
        <c:numFmt formatCode="General" sourceLinked="1"/>
        <c:majorTickMark val="none"/>
        <c:minorTickMark val="none"/>
        <c:tickLblPos val="nextTo"/>
        <c:crossAx val="56265235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07AAA"/>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'[1]Altman Z Score'!$C$68:$I$68</c:f>
              <c:numCache>
                <c:formatCode>General</c:formatCode>
                <c:ptCount val="7"/>
                <c:pt idx="0">
                  <c:v>43921</c:v>
                </c:pt>
                <c:pt idx="1">
                  <c:v>44286</c:v>
                </c:pt>
                <c:pt idx="2">
                  <c:v>44651</c:v>
                </c:pt>
                <c:pt idx="3">
                  <c:v>45016</c:v>
                </c:pt>
                <c:pt idx="4">
                  <c:v>45382</c:v>
                </c:pt>
                <c:pt idx="5">
                  <c:v>45747</c:v>
                </c:pt>
                <c:pt idx="6">
                  <c:v>46112</c:v>
                </c:pt>
              </c:numCache>
            </c:numRef>
          </c:cat>
          <c:val>
            <c:numRef>
              <c:f>'[1]Altman Z Score'!$C$71:$I$71</c:f>
              <c:numCache>
                <c:formatCode>General</c:formatCode>
                <c:ptCount val="7"/>
                <c:pt idx="0">
                  <c:v>0.39812636165577342</c:v>
                </c:pt>
                <c:pt idx="1">
                  <c:v>0.38176558677716699</c:v>
                </c:pt>
                <c:pt idx="2">
                  <c:v>0.29370593425798214</c:v>
                </c:pt>
                <c:pt idx="3">
                  <c:v>0.27862050146072104</c:v>
                </c:pt>
                <c:pt idx="4">
                  <c:v>0.32301867372445231</c:v>
                </c:pt>
                <c:pt idx="5">
                  <c:v>0.32970668831827871</c:v>
                </c:pt>
                <c:pt idx="6">
                  <c:v>0.29718448615576065</c:v>
                </c:pt>
              </c:numCache>
            </c:numRef>
          </c:val>
          <c:extLst>
            <c:ext xmlns:c16="http://schemas.microsoft.com/office/drawing/2014/chart" uri="{C3380CC4-5D6E-409C-BE32-E72D297353CC}">
              <c16:uniqueId val="{00000000-F2CF-3B4E-A6A0-3C96EDC30D60}"/>
            </c:ext>
          </c:extLst>
        </c:ser>
        <c:dLbls>
          <c:showLegendKey val="0"/>
          <c:showVal val="0"/>
          <c:showCatName val="0"/>
          <c:showSerName val="0"/>
          <c:showPercent val="0"/>
          <c:showBubbleSize val="0"/>
        </c:dLbls>
        <c:gapWidth val="219"/>
        <c:overlap val="-27"/>
        <c:axId val="1166142399"/>
        <c:axId val="1166133887"/>
      </c:barChart>
      <c:catAx>
        <c:axId val="11661423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6133887"/>
        <c:crosses val="autoZero"/>
        <c:auto val="1"/>
        <c:lblAlgn val="ctr"/>
        <c:lblOffset val="100"/>
        <c:noMultiLvlLbl val="0"/>
      </c:catAx>
      <c:valAx>
        <c:axId val="1166133887"/>
        <c:scaling>
          <c:orientation val="minMax"/>
        </c:scaling>
        <c:delete val="1"/>
        <c:axPos val="l"/>
        <c:numFmt formatCode="General" sourceLinked="1"/>
        <c:majorTickMark val="none"/>
        <c:minorTickMark val="none"/>
        <c:tickLblPos val="nextTo"/>
        <c:crossAx val="116614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07AAA"/>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'[1]Altman Z Score'!$C$74:$I$74</c:f>
              <c:numCache>
                <c:formatCode>General</c:formatCode>
                <c:ptCount val="7"/>
                <c:pt idx="0">
                  <c:v>43921</c:v>
                </c:pt>
                <c:pt idx="1">
                  <c:v>44286</c:v>
                </c:pt>
                <c:pt idx="2">
                  <c:v>44651</c:v>
                </c:pt>
                <c:pt idx="3">
                  <c:v>45016</c:v>
                </c:pt>
                <c:pt idx="4">
                  <c:v>45382</c:v>
                </c:pt>
                <c:pt idx="5">
                  <c:v>45747</c:v>
                </c:pt>
                <c:pt idx="6">
                  <c:v>46112</c:v>
                </c:pt>
              </c:numCache>
            </c:numRef>
          </c:cat>
          <c:val>
            <c:numRef>
              <c:f>'[1]Altman Z Score'!$C$77:$I$77</c:f>
              <c:numCache>
                <c:formatCode>General</c:formatCode>
                <c:ptCount val="7"/>
                <c:pt idx="0">
                  <c:v>0.61338779956427014</c:v>
                </c:pt>
                <c:pt idx="1">
                  <c:v>0.58266595976225688</c:v>
                </c:pt>
                <c:pt idx="2">
                  <c:v>0.52525936142689478</c:v>
                </c:pt>
                <c:pt idx="3">
                  <c:v>0.4731853350027288</c:v>
                </c:pt>
                <c:pt idx="4">
                  <c:v>0.50290398470813114</c:v>
                </c:pt>
                <c:pt idx="5">
                  <c:v>0.53200040596772558</c:v>
                </c:pt>
                <c:pt idx="6">
                  <c:v>0.49584543191952712</c:v>
                </c:pt>
              </c:numCache>
            </c:numRef>
          </c:val>
          <c:extLst>
            <c:ext xmlns:c16="http://schemas.microsoft.com/office/drawing/2014/chart" uri="{C3380CC4-5D6E-409C-BE32-E72D297353CC}">
              <c16:uniqueId val="{00000000-39B8-974D-AC84-0BFCC56844B3}"/>
            </c:ext>
          </c:extLst>
        </c:ser>
        <c:dLbls>
          <c:showLegendKey val="0"/>
          <c:showVal val="0"/>
          <c:showCatName val="0"/>
          <c:showSerName val="0"/>
          <c:showPercent val="0"/>
          <c:showBubbleSize val="0"/>
        </c:dLbls>
        <c:gapWidth val="219"/>
        <c:overlap val="-27"/>
        <c:axId val="1166142399"/>
        <c:axId val="1166133887"/>
      </c:barChart>
      <c:catAx>
        <c:axId val="11661423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6133887"/>
        <c:crosses val="autoZero"/>
        <c:auto val="1"/>
        <c:lblAlgn val="ctr"/>
        <c:lblOffset val="100"/>
        <c:noMultiLvlLbl val="0"/>
      </c:catAx>
      <c:valAx>
        <c:axId val="1166133887"/>
        <c:scaling>
          <c:orientation val="minMax"/>
        </c:scaling>
        <c:delete val="1"/>
        <c:axPos val="l"/>
        <c:numFmt formatCode="General" sourceLinked="1"/>
        <c:majorTickMark val="none"/>
        <c:minorTickMark val="none"/>
        <c:tickLblPos val="nextTo"/>
        <c:crossAx val="116614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07AAA"/>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'[1]Altman Z Score'!$C$68:$I$68</c:f>
              <c:numCache>
                <c:formatCode>General</c:formatCode>
                <c:ptCount val="7"/>
                <c:pt idx="0">
                  <c:v>43921</c:v>
                </c:pt>
                <c:pt idx="1">
                  <c:v>44286</c:v>
                </c:pt>
                <c:pt idx="2">
                  <c:v>44651</c:v>
                </c:pt>
                <c:pt idx="3">
                  <c:v>45016</c:v>
                </c:pt>
                <c:pt idx="4">
                  <c:v>45382</c:v>
                </c:pt>
                <c:pt idx="5">
                  <c:v>45747</c:v>
                </c:pt>
                <c:pt idx="6">
                  <c:v>46112</c:v>
                </c:pt>
              </c:numCache>
            </c:numRef>
          </c:cat>
          <c:val>
            <c:numRef>
              <c:f>'[1]Altman Z Score'!$C$82:$I$82</c:f>
              <c:numCache>
                <c:formatCode>General</c:formatCode>
                <c:ptCount val="7"/>
                <c:pt idx="0">
                  <c:v>0.21104575163398692</c:v>
                </c:pt>
                <c:pt idx="1">
                  <c:v>0.22901842602152339</c:v>
                </c:pt>
                <c:pt idx="2">
                  <c:v>0.24000034267405701</c:v>
                </c:pt>
                <c:pt idx="3">
                  <c:v>0.24804167067963659</c:v>
                </c:pt>
                <c:pt idx="4">
                  <c:v>0.23339950007351859</c:v>
                </c:pt>
                <c:pt idx="5">
                  <c:v>0.23291721641462837</c:v>
                </c:pt>
                <c:pt idx="6">
                  <c:v>0.24226122575961836</c:v>
                </c:pt>
              </c:numCache>
            </c:numRef>
          </c:val>
          <c:extLst>
            <c:ext xmlns:c16="http://schemas.microsoft.com/office/drawing/2014/chart" uri="{C3380CC4-5D6E-409C-BE32-E72D297353CC}">
              <c16:uniqueId val="{00000000-EC0F-6645-BAAD-CDD517CAD6A9}"/>
            </c:ext>
          </c:extLst>
        </c:ser>
        <c:dLbls>
          <c:showLegendKey val="0"/>
          <c:showVal val="0"/>
          <c:showCatName val="0"/>
          <c:showSerName val="0"/>
          <c:showPercent val="0"/>
          <c:showBubbleSize val="0"/>
        </c:dLbls>
        <c:gapWidth val="219"/>
        <c:overlap val="-27"/>
        <c:axId val="1166142399"/>
        <c:axId val="1166133887"/>
      </c:barChart>
      <c:catAx>
        <c:axId val="11661423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6133887"/>
        <c:crosses val="autoZero"/>
        <c:auto val="1"/>
        <c:lblAlgn val="ctr"/>
        <c:lblOffset val="100"/>
        <c:noMultiLvlLbl val="0"/>
      </c:catAx>
      <c:valAx>
        <c:axId val="1166133887"/>
        <c:scaling>
          <c:orientation val="minMax"/>
        </c:scaling>
        <c:delete val="1"/>
        <c:axPos val="l"/>
        <c:numFmt formatCode="General" sourceLinked="1"/>
        <c:majorTickMark val="none"/>
        <c:minorTickMark val="none"/>
        <c:tickLblPos val="nextTo"/>
        <c:crossAx val="116614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07AAA"/>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'[1]Altman Z Score'!$C$68:$I$68</c:f>
              <c:numCache>
                <c:formatCode>General</c:formatCode>
                <c:ptCount val="7"/>
                <c:pt idx="0">
                  <c:v>43921</c:v>
                </c:pt>
                <c:pt idx="1">
                  <c:v>44286</c:v>
                </c:pt>
                <c:pt idx="2">
                  <c:v>44651</c:v>
                </c:pt>
                <c:pt idx="3">
                  <c:v>45016</c:v>
                </c:pt>
                <c:pt idx="4">
                  <c:v>45382</c:v>
                </c:pt>
                <c:pt idx="5">
                  <c:v>45747</c:v>
                </c:pt>
                <c:pt idx="6">
                  <c:v>46112</c:v>
                </c:pt>
              </c:numCache>
            </c:numRef>
          </c:cat>
          <c:val>
            <c:numRef>
              <c:f>'[1]Altman Z Score'!$C$87:$I$87</c:f>
              <c:numCache>
                <c:formatCode>General</c:formatCode>
                <c:ptCount val="7"/>
                <c:pt idx="0">
                  <c:v>2.9634457344389977</c:v>
                </c:pt>
                <c:pt idx="1">
                  <c:v>5.4018399431292616</c:v>
                </c:pt>
                <c:pt idx="2">
                  <c:v>6.8495803987557933</c:v>
                </c:pt>
                <c:pt idx="3">
                  <c:v>4.7405656180806366</c:v>
                </c:pt>
                <c:pt idx="4">
                  <c:v>4.5595155482735992</c:v>
                </c:pt>
                <c:pt idx="5">
                  <c:v>4.4035029357239424</c:v>
                </c:pt>
                <c:pt idx="6">
                  <c:v>3.2802967045312657</c:v>
                </c:pt>
              </c:numCache>
            </c:numRef>
          </c:val>
          <c:extLst>
            <c:ext xmlns:c16="http://schemas.microsoft.com/office/drawing/2014/chart" uri="{C3380CC4-5D6E-409C-BE32-E72D297353CC}">
              <c16:uniqueId val="{00000000-0396-B448-B36D-621AF1100390}"/>
            </c:ext>
          </c:extLst>
        </c:ser>
        <c:dLbls>
          <c:showLegendKey val="0"/>
          <c:showVal val="0"/>
          <c:showCatName val="0"/>
          <c:showSerName val="0"/>
          <c:showPercent val="0"/>
          <c:showBubbleSize val="0"/>
        </c:dLbls>
        <c:gapWidth val="219"/>
        <c:overlap val="-27"/>
        <c:axId val="1166142399"/>
        <c:axId val="1166133887"/>
      </c:barChart>
      <c:catAx>
        <c:axId val="11661423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6133887"/>
        <c:crosses val="autoZero"/>
        <c:auto val="1"/>
        <c:lblAlgn val="ctr"/>
        <c:lblOffset val="100"/>
        <c:noMultiLvlLbl val="0"/>
      </c:catAx>
      <c:valAx>
        <c:axId val="1166133887"/>
        <c:scaling>
          <c:orientation val="minMax"/>
        </c:scaling>
        <c:delete val="1"/>
        <c:axPos val="l"/>
        <c:numFmt formatCode="General" sourceLinked="1"/>
        <c:majorTickMark val="none"/>
        <c:minorTickMark val="none"/>
        <c:tickLblPos val="nextTo"/>
        <c:crossAx val="116614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07AAA"/>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'[1]Altman Z Score'!$C$90:$I$90</c:f>
              <c:numCache>
                <c:formatCode>General</c:formatCode>
                <c:ptCount val="7"/>
                <c:pt idx="0">
                  <c:v>43921</c:v>
                </c:pt>
                <c:pt idx="1">
                  <c:v>44286</c:v>
                </c:pt>
                <c:pt idx="2">
                  <c:v>44651</c:v>
                </c:pt>
                <c:pt idx="3">
                  <c:v>45016</c:v>
                </c:pt>
                <c:pt idx="4">
                  <c:v>45382</c:v>
                </c:pt>
                <c:pt idx="5">
                  <c:v>45747</c:v>
                </c:pt>
                <c:pt idx="6">
                  <c:v>46112</c:v>
                </c:pt>
              </c:numCache>
            </c:numRef>
          </c:cat>
          <c:val>
            <c:numRef>
              <c:f>'[1]Altman Z Score'!$C$93:$I$93</c:f>
              <c:numCache>
                <c:formatCode>General</c:formatCode>
                <c:ptCount val="7"/>
                <c:pt idx="0">
                  <c:v>0.98900871459694994</c:v>
                </c:pt>
                <c:pt idx="1">
                  <c:v>0.9345276297309113</c:v>
                </c:pt>
                <c:pt idx="2">
                  <c:v>1.0420803742000702</c:v>
                </c:pt>
                <c:pt idx="3">
                  <c:v>1.1779431121384314</c:v>
                </c:pt>
                <c:pt idx="4">
                  <c:v>1.1297603293633289</c:v>
                </c:pt>
                <c:pt idx="5">
                  <c:v>1.1028113264995434</c:v>
                </c:pt>
                <c:pt idx="6">
                  <c:v>1.1578995125998133</c:v>
                </c:pt>
              </c:numCache>
            </c:numRef>
          </c:val>
          <c:extLst>
            <c:ext xmlns:c16="http://schemas.microsoft.com/office/drawing/2014/chart" uri="{C3380CC4-5D6E-409C-BE32-E72D297353CC}">
              <c16:uniqueId val="{00000000-53DF-C644-B752-849A66AAE9BC}"/>
            </c:ext>
          </c:extLst>
        </c:ser>
        <c:dLbls>
          <c:showLegendKey val="0"/>
          <c:showVal val="0"/>
          <c:showCatName val="0"/>
          <c:showSerName val="0"/>
          <c:showPercent val="0"/>
          <c:showBubbleSize val="0"/>
        </c:dLbls>
        <c:gapWidth val="219"/>
        <c:overlap val="-27"/>
        <c:axId val="1166142399"/>
        <c:axId val="1166133887"/>
      </c:barChart>
      <c:catAx>
        <c:axId val="11661423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6133887"/>
        <c:crosses val="autoZero"/>
        <c:auto val="1"/>
        <c:lblAlgn val="ctr"/>
        <c:lblOffset val="100"/>
        <c:noMultiLvlLbl val="0"/>
      </c:catAx>
      <c:valAx>
        <c:axId val="1166133887"/>
        <c:scaling>
          <c:orientation val="minMax"/>
        </c:scaling>
        <c:delete val="1"/>
        <c:axPos val="l"/>
        <c:numFmt formatCode="General" sourceLinked="1"/>
        <c:majorTickMark val="none"/>
        <c:minorTickMark val="none"/>
        <c:tickLblPos val="nextTo"/>
        <c:crossAx val="116614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07AAA"/>
            </a:solidFill>
            <a:ln>
              <a:noFill/>
            </a:ln>
            <a:effectLst/>
          </c:spPr>
          <c:invertIfNegative val="0"/>
          <c:dLbls>
            <c:numFmt formatCode="#,##0.00\x"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'[1]Altman Z Score'!$C$96:$I$96</c:f>
              <c:numCache>
                <c:formatCode>General</c:formatCode>
                <c:ptCount val="7"/>
                <c:pt idx="0">
                  <c:v>43921</c:v>
                </c:pt>
                <c:pt idx="1">
                  <c:v>44286</c:v>
                </c:pt>
                <c:pt idx="2">
                  <c:v>44651</c:v>
                </c:pt>
                <c:pt idx="3">
                  <c:v>45016</c:v>
                </c:pt>
                <c:pt idx="4">
                  <c:v>45382</c:v>
                </c:pt>
                <c:pt idx="5">
                  <c:v>45747</c:v>
                </c:pt>
                <c:pt idx="6">
                  <c:v>46112</c:v>
                </c:pt>
              </c:numCache>
            </c:numRef>
          </c:cat>
          <c:val>
            <c:numRef>
              <c:f>'[1]Altman Z Score'!$C$97:$I$97</c:f>
              <c:numCache>
                <c:formatCode>General</c:formatCode>
                <c:ptCount val="7"/>
                <c:pt idx="0">
                  <c:v>4.8000216890294114</c:v>
                </c:pt>
                <c:pt idx="1">
                  <c:v>6.205243449279255</c:v>
                </c:pt>
                <c:pt idx="2">
                  <c:v>7.0316399713851645</c:v>
                </c:pt>
                <c:pt idx="3">
                  <c:v>5.8376240669862991</c:v>
                </c:pt>
                <c:pt idx="4">
                  <c:v>5.7273759956308261</c:v>
                </c:pt>
                <c:pt idx="5">
                  <c:v>5.6539884964389326</c:v>
                </c:pt>
                <c:pt idx="6">
                  <c:v>4.976344568399564</c:v>
                </c:pt>
              </c:numCache>
            </c:numRef>
          </c:val>
          <c:extLst>
            <c:ext xmlns:c16="http://schemas.microsoft.com/office/drawing/2014/chart" uri="{C3380CC4-5D6E-409C-BE32-E72D297353CC}">
              <c16:uniqueId val="{00000000-607B-C746-B9D7-0E8C5A831627}"/>
            </c:ext>
          </c:extLst>
        </c:ser>
        <c:dLbls>
          <c:showLegendKey val="0"/>
          <c:showVal val="0"/>
          <c:showCatName val="0"/>
          <c:showSerName val="0"/>
          <c:showPercent val="0"/>
          <c:showBubbleSize val="0"/>
        </c:dLbls>
        <c:gapWidth val="219"/>
        <c:overlap val="-27"/>
        <c:axId val="1166142399"/>
        <c:axId val="1166133887"/>
      </c:barChart>
      <c:catAx>
        <c:axId val="11661423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66133887"/>
        <c:crosses val="autoZero"/>
        <c:auto val="1"/>
        <c:lblAlgn val="ctr"/>
        <c:lblOffset val="100"/>
        <c:noMultiLvlLbl val="0"/>
      </c:catAx>
      <c:valAx>
        <c:axId val="1166133887"/>
        <c:scaling>
          <c:orientation val="minMax"/>
        </c:scaling>
        <c:delete val="1"/>
        <c:axPos val="l"/>
        <c:numFmt formatCode="General" sourceLinked="1"/>
        <c:majorTickMark val="none"/>
        <c:minorTickMark val="none"/>
        <c:tickLblPos val="nextTo"/>
        <c:crossAx val="116614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n-GB" sz="1400" b="1" strike="noStrike" spc="-1">
                <a:solidFill>
                  <a:srgbClr val="002060"/>
                </a:solidFill>
                <a:latin typeface="Calibri"/>
              </a:defRPr>
            </a:pPr>
            <a:r>
              <a:rPr lang="en-GB" sz="1400" b="1" strike="noStrike" spc="-1">
                <a:solidFill>
                  <a:srgbClr val="002060"/>
                </a:solidFill>
                <a:latin typeface="Calibri"/>
              </a:rPr>
              <a:t>Football Field Analysis - Valuation Summary (Rs)</a:t>
            </a:r>
          </a:p>
        </c:rich>
      </c:tx>
      <c:overlay val="0"/>
      <c:spPr>
        <a:noFill/>
        <a:ln w="0">
          <a:noFill/>
        </a:ln>
      </c:spPr>
    </c:title>
    <c:autoTitleDeleted val="0"/>
    <c:plotArea>
      <c:layout/>
      <c:stockChart>
        <c:ser>
          <c:idx val="1"/>
          <c:order val="0"/>
          <c:cat>
            <c:strRef>
              <c:f>'Football Field'!$L$8:$L$12</c:f>
              <c:strCache>
                <c:ptCount val="5"/>
                <c:pt idx="0">
                  <c:v>Comps</c:v>
                </c:pt>
                <c:pt idx="1">
                  <c:v>DCF Bear</c:v>
                </c:pt>
                <c:pt idx="2">
                  <c:v>DCF Base</c:v>
                </c:pt>
                <c:pt idx="3">
                  <c:v>DCF Bull</c:v>
                </c:pt>
                <c:pt idx="4">
                  <c:v>52W H/L</c:v>
                </c:pt>
              </c:strCache>
            </c:strRef>
          </c:cat>
          <c:val>
            <c:numRef>
              <c:f>'Football Field'!$N$8:$N$12</c:f>
              <c:numCache>
                <c:formatCode>0.0</c:formatCode>
                <c:ptCount val="5"/>
                <c:pt idx="0">
                  <c:v>1202.947831080332</c:v>
                </c:pt>
                <c:pt idx="1">
                  <c:v>715.09871573992143</c:v>
                </c:pt>
                <c:pt idx="2">
                  <c:v>796.21700597998165</c:v>
                </c:pt>
                <c:pt idx="3">
                  <c:v>910.32941074576468</c:v>
                </c:pt>
                <c:pt idx="4" formatCode="#,##0.0">
                  <c:v>982.4</c:v>
                </c:pt>
              </c:numCache>
            </c:numRef>
          </c:val>
          <c:smooth val="1"/>
          <c:extLst>
            <c:ext xmlns:c16="http://schemas.microsoft.com/office/drawing/2014/chart" uri="{C3380CC4-5D6E-409C-BE32-E72D297353CC}">
              <c16:uniqueId val="{00000000-6979-DC4B-A201-7B61CBB6729C}"/>
            </c:ext>
          </c:extLst>
        </c:ser>
        <c:ser>
          <c:idx val="2"/>
          <c:order val="1"/>
          <c:cat>
            <c:strRef>
              <c:f>'Football Field'!$L$8:$L$12</c:f>
              <c:strCache>
                <c:ptCount val="5"/>
                <c:pt idx="0">
                  <c:v>Comps</c:v>
                </c:pt>
                <c:pt idx="1">
                  <c:v>DCF Bear</c:v>
                </c:pt>
                <c:pt idx="2">
                  <c:v>DCF Base</c:v>
                </c:pt>
                <c:pt idx="3">
                  <c:v>DCF Bull</c:v>
                </c:pt>
                <c:pt idx="4">
                  <c:v>52W H/L</c:v>
                </c:pt>
              </c:strCache>
            </c:strRef>
          </c:cat>
          <c:val>
            <c:numRef>
              <c:f>'Football Field'!$O$8:$O$12</c:f>
              <c:numCache>
                <c:formatCode>0.0</c:formatCode>
                <c:ptCount val="5"/>
                <c:pt idx="0">
                  <c:v>1202.947831080332</c:v>
                </c:pt>
                <c:pt idx="1">
                  <c:v>715.09871573992143</c:v>
                </c:pt>
                <c:pt idx="2">
                  <c:v>796.21700597998165</c:v>
                </c:pt>
                <c:pt idx="3">
                  <c:v>910.32941074576468</c:v>
                </c:pt>
                <c:pt idx="4" formatCode="#,##0.0">
                  <c:v>982.4</c:v>
                </c:pt>
              </c:numCache>
            </c:numRef>
          </c:val>
          <c:smooth val="1"/>
          <c:extLst>
            <c:ext xmlns:c16="http://schemas.microsoft.com/office/drawing/2014/chart" uri="{C3380CC4-5D6E-409C-BE32-E72D297353CC}">
              <c16:uniqueId val="{00000001-6979-DC4B-A201-7B61CBB6729C}"/>
            </c:ext>
          </c:extLst>
        </c:ser>
        <c:ser>
          <c:idx val="3"/>
          <c:order val="2"/>
          <c:cat>
            <c:strRef>
              <c:f>'Football Field'!$L$8:$L$12</c:f>
              <c:strCache>
                <c:ptCount val="5"/>
                <c:pt idx="0">
                  <c:v>Comps</c:v>
                </c:pt>
                <c:pt idx="1">
                  <c:v>DCF Bear</c:v>
                </c:pt>
                <c:pt idx="2">
                  <c:v>DCF Base</c:v>
                </c:pt>
                <c:pt idx="3">
                  <c:v>DCF Bull</c:v>
                </c:pt>
                <c:pt idx="4">
                  <c:v>52W H/L</c:v>
                </c:pt>
              </c:strCache>
            </c:strRef>
          </c:cat>
          <c:val>
            <c:numRef>
              <c:f>'Football Field'!$P$8:$P$12</c:f>
              <c:numCache>
                <c:formatCode>0.0</c:formatCode>
                <c:ptCount val="5"/>
                <c:pt idx="0">
                  <c:v>1515.0277573195135</c:v>
                </c:pt>
                <c:pt idx="1">
                  <c:v>715.09871573992143</c:v>
                </c:pt>
                <c:pt idx="2">
                  <c:v>796.21700597998165</c:v>
                </c:pt>
                <c:pt idx="3">
                  <c:v>910.32941074576468</c:v>
                </c:pt>
                <c:pt idx="4" formatCode="#,##0.0">
                  <c:v>1728</c:v>
                </c:pt>
              </c:numCache>
            </c:numRef>
          </c:val>
          <c:smooth val="1"/>
          <c:extLst>
            <c:ext xmlns:c16="http://schemas.microsoft.com/office/drawing/2014/chart" uri="{C3380CC4-5D6E-409C-BE32-E72D297353CC}">
              <c16:uniqueId val="{00000002-6979-DC4B-A201-7B61CBB6729C}"/>
            </c:ext>
          </c:extLst>
        </c:ser>
        <c:ser>
          <c:idx val="4"/>
          <c:order val="3"/>
          <c:cat>
            <c:strRef>
              <c:f>'Football Field'!$L$8:$L$12</c:f>
              <c:strCache>
                <c:ptCount val="5"/>
                <c:pt idx="0">
                  <c:v>Comps</c:v>
                </c:pt>
                <c:pt idx="1">
                  <c:v>DCF Bear</c:v>
                </c:pt>
                <c:pt idx="2">
                  <c:v>DCF Base</c:v>
                </c:pt>
                <c:pt idx="3">
                  <c:v>DCF Bull</c:v>
                </c:pt>
                <c:pt idx="4">
                  <c:v>52W H/L</c:v>
                </c:pt>
              </c:strCache>
            </c:strRef>
          </c:cat>
          <c:val>
            <c:numRef>
              <c:f>'Football Field'!$Q$8:$Q$12</c:f>
              <c:numCache>
                <c:formatCode>0.0</c:formatCode>
                <c:ptCount val="5"/>
                <c:pt idx="0">
                  <c:v>1515.0277573195135</c:v>
                </c:pt>
                <c:pt idx="1">
                  <c:v>715.09871573992143</c:v>
                </c:pt>
                <c:pt idx="2">
                  <c:v>796.21700597998165</c:v>
                </c:pt>
                <c:pt idx="3">
                  <c:v>910.32941074576468</c:v>
                </c:pt>
                <c:pt idx="4" formatCode="#,##0.0">
                  <c:v>1728</c:v>
                </c:pt>
              </c:numCache>
            </c:numRef>
          </c:val>
          <c:smooth val="1"/>
          <c:extLst>
            <c:ext xmlns:c16="http://schemas.microsoft.com/office/drawing/2014/chart" uri="{C3380CC4-5D6E-409C-BE32-E72D297353CC}">
              <c16:uniqueId val="{00000003-6979-DC4B-A201-7B61CBB6729C}"/>
            </c:ext>
          </c:extLst>
        </c:ser>
        <c:dLbls>
          <c:showLegendKey val="0"/>
          <c:showVal val="0"/>
          <c:showCatName val="0"/>
          <c:showSerName val="0"/>
          <c:showPercent val="0"/>
          <c:showBubbleSize val="0"/>
        </c:dLbls>
        <c:hiLowLines>
          <c:spPr>
            <a:ln w="9360">
              <a:solidFill>
                <a:srgbClr val="404040"/>
              </a:solidFill>
              <a:bevel/>
            </a:ln>
          </c:spPr>
        </c:hiLowLines>
        <c:upDownBars>
          <c:gapWidth val="150"/>
          <c:upBars>
            <c:spPr>
              <a:solidFill>
                <a:srgbClr val="002060"/>
              </a:solidFill>
              <a:ln w="9360">
                <a:solidFill>
                  <a:srgbClr val="595959"/>
                </a:solidFill>
                <a:round/>
              </a:ln>
            </c:spPr>
          </c:upBars>
          <c:downBars>
            <c:spPr>
              <a:solidFill>
                <a:srgbClr val="404040"/>
              </a:solidFill>
              <a:ln w="9360">
                <a:solidFill>
                  <a:srgbClr val="595959"/>
                </a:solidFill>
                <a:round/>
              </a:ln>
            </c:spPr>
          </c:downBars>
        </c:upDownBars>
        <c:axId val="11312306"/>
        <c:axId val="88667475"/>
      </c:stockChart>
      <c:catAx>
        <c:axId val="11312306"/>
        <c:scaling>
          <c:orientation val="minMax"/>
        </c:scaling>
        <c:delete val="0"/>
        <c:axPos val="b"/>
        <c:numFmt formatCode="General" sourceLinked="0"/>
        <c:majorTickMark val="none"/>
        <c:minorTickMark val="none"/>
        <c:tickLblPos val="nextTo"/>
        <c:spPr>
          <a:ln w="9360">
            <a:noFill/>
          </a:ln>
        </c:spPr>
        <c:txPr>
          <a:bodyPr/>
          <a:lstStyle/>
          <a:p>
            <a:pPr>
              <a:defRPr sz="900" b="0" strike="noStrike" spc="-1">
                <a:solidFill>
                  <a:srgbClr val="595959"/>
                </a:solidFill>
                <a:latin typeface="Calibri"/>
              </a:defRPr>
            </a:pPr>
            <a:endParaRPr lang="en-US"/>
          </a:p>
        </c:txPr>
        <c:crossAx val="88667475"/>
        <c:crosses val="autoZero"/>
        <c:auto val="1"/>
        <c:lblAlgn val="ctr"/>
        <c:lblOffset val="100"/>
        <c:noMultiLvlLbl val="0"/>
      </c:catAx>
      <c:valAx>
        <c:axId val="88667475"/>
        <c:scaling>
          <c:orientation val="minMax"/>
        </c:scaling>
        <c:delete val="0"/>
        <c:axPos val="l"/>
        <c:numFmt formatCode="#,##0.00" sourceLinked="0"/>
        <c:majorTickMark val="none"/>
        <c:minorTickMark val="none"/>
        <c:tickLblPos val="nextTo"/>
        <c:spPr>
          <a:ln w="12600">
            <a:noFill/>
          </a:ln>
        </c:spPr>
        <c:txPr>
          <a:bodyPr/>
          <a:lstStyle/>
          <a:p>
            <a:pPr>
              <a:defRPr sz="900" b="0" strike="noStrike" spc="-1">
                <a:solidFill>
                  <a:srgbClr val="595959"/>
                </a:solidFill>
                <a:latin typeface="Calibri"/>
              </a:defRPr>
            </a:pPr>
            <a:endParaRPr lang="en-US"/>
          </a:p>
        </c:txPr>
        <c:crossAx val="11312306"/>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195203</xdr:colOff>
      <xdr:row>17</xdr:row>
      <xdr:rowOff>0</xdr:rowOff>
    </xdr:from>
    <xdr:to>
      <xdr:col>1</xdr:col>
      <xdr:colOff>2817753</xdr:colOff>
      <xdr:row>27</xdr:row>
      <xdr:rowOff>1409</xdr:rowOff>
    </xdr:to>
    <xdr:grpSp>
      <xdr:nvGrpSpPr>
        <xdr:cNvPr id="2" name="Group 1">
          <a:extLst>
            <a:ext uri="{FF2B5EF4-FFF2-40B4-BE49-F238E27FC236}">
              <a16:creationId xmlns:a16="http://schemas.microsoft.com/office/drawing/2014/main" id="{359F579B-FC98-2747-8FF4-9BBA57CE0454}"/>
            </a:ext>
          </a:extLst>
        </xdr:cNvPr>
        <xdr:cNvGrpSpPr/>
      </xdr:nvGrpSpPr>
      <xdr:grpSpPr>
        <a:xfrm>
          <a:off x="378647" y="3824111"/>
          <a:ext cx="2622550" cy="1976965"/>
          <a:chOff x="241300" y="3327400"/>
          <a:chExt cx="2622550" cy="2032000"/>
        </a:xfrm>
      </xdr:grpSpPr>
      <xdr:graphicFrame macro="">
        <xdr:nvGraphicFramePr>
          <xdr:cNvPr id="3" name="Chart 2">
            <a:extLst>
              <a:ext uri="{FF2B5EF4-FFF2-40B4-BE49-F238E27FC236}">
                <a16:creationId xmlns:a16="http://schemas.microsoft.com/office/drawing/2014/main" id="{E3791810-920A-914D-BE3B-1A8775A9D9CF}"/>
              </a:ext>
            </a:extLst>
          </xdr:cNvPr>
          <xdr:cNvGraphicFramePr>
            <a:graphicFrameLocks/>
          </xdr:cNvGraphicFramePr>
        </xdr:nvGraphicFramePr>
        <xdr:xfrm>
          <a:off x="241300" y="3695700"/>
          <a:ext cx="2622550" cy="16637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1B3CD40C-1AA7-E873-D098-030F3A1F7520}"/>
              </a:ext>
            </a:extLst>
          </xdr:cNvPr>
          <xdr:cNvSpPr txBox="1"/>
        </xdr:nvSpPr>
        <xdr:spPr>
          <a:xfrm>
            <a:off x="825500" y="3505200"/>
            <a:ext cx="1244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Revenues (INR Crs.)</a:t>
            </a:r>
          </a:p>
          <a:p>
            <a:endParaRPr lang="en-GB" sz="1000"/>
          </a:p>
          <a:p>
            <a:endParaRPr lang="en-GB" sz="1000"/>
          </a:p>
        </xdr:txBody>
      </xdr:sp>
      <xdr:cxnSp macro="">
        <xdr:nvCxnSpPr>
          <xdr:cNvPr id="5" name="Straight Connector 4">
            <a:extLst>
              <a:ext uri="{FF2B5EF4-FFF2-40B4-BE49-F238E27FC236}">
                <a16:creationId xmlns:a16="http://schemas.microsoft.com/office/drawing/2014/main" id="{5A19AEFD-2C2E-7F2C-12D1-62582E32A2C5}"/>
              </a:ext>
            </a:extLst>
          </xdr:cNvPr>
          <xdr:cNvCxnSpPr/>
        </xdr:nvCxnSpPr>
        <xdr:spPr>
          <a:xfrm flipV="1">
            <a:off x="266700" y="3327400"/>
            <a:ext cx="2578100" cy="254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36688</xdr:colOff>
      <xdr:row>17</xdr:row>
      <xdr:rowOff>0</xdr:rowOff>
    </xdr:from>
    <xdr:to>
      <xdr:col>5</xdr:col>
      <xdr:colOff>12463</xdr:colOff>
      <xdr:row>27</xdr:row>
      <xdr:rowOff>1409</xdr:rowOff>
    </xdr:to>
    <xdr:grpSp>
      <xdr:nvGrpSpPr>
        <xdr:cNvPr id="6" name="Group 5">
          <a:extLst>
            <a:ext uri="{FF2B5EF4-FFF2-40B4-BE49-F238E27FC236}">
              <a16:creationId xmlns:a16="http://schemas.microsoft.com/office/drawing/2014/main" id="{3DA9AAD2-780D-ED45-8AB1-1DA9C5165B97}"/>
            </a:ext>
          </a:extLst>
        </xdr:cNvPr>
        <xdr:cNvGrpSpPr/>
      </xdr:nvGrpSpPr>
      <xdr:grpSpPr>
        <a:xfrm>
          <a:off x="3324577" y="3824111"/>
          <a:ext cx="2628664" cy="1976965"/>
          <a:chOff x="241300" y="3327400"/>
          <a:chExt cx="2622550" cy="2032000"/>
        </a:xfrm>
      </xdr:grpSpPr>
      <xdr:graphicFrame macro="">
        <xdr:nvGraphicFramePr>
          <xdr:cNvPr id="7" name="Chart 6">
            <a:extLst>
              <a:ext uri="{FF2B5EF4-FFF2-40B4-BE49-F238E27FC236}">
                <a16:creationId xmlns:a16="http://schemas.microsoft.com/office/drawing/2014/main" id="{03F3426B-B82A-031D-55B7-233C475FFA31}"/>
              </a:ext>
            </a:extLst>
          </xdr:cNvPr>
          <xdr:cNvGraphicFramePr>
            <a:graphicFrameLocks/>
          </xdr:cNvGraphicFramePr>
        </xdr:nvGraphicFramePr>
        <xdr:xfrm>
          <a:off x="241300" y="3695700"/>
          <a:ext cx="2622550" cy="16637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7382BB39-08E0-E157-DF26-BD2AF3197284}"/>
              </a:ext>
            </a:extLst>
          </xdr:cNvPr>
          <xdr:cNvSpPr txBox="1"/>
        </xdr:nvSpPr>
        <xdr:spPr>
          <a:xfrm>
            <a:off x="825500" y="3505200"/>
            <a:ext cx="1244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Net</a:t>
            </a:r>
            <a:r>
              <a:rPr lang="en-GB" sz="1000" baseline="0"/>
              <a:t> Profit</a:t>
            </a:r>
            <a:r>
              <a:rPr lang="en-GB" sz="1000"/>
              <a:t> (INR Crs.)</a:t>
            </a:r>
          </a:p>
          <a:p>
            <a:endParaRPr lang="en-GB" sz="1000"/>
          </a:p>
          <a:p>
            <a:endParaRPr lang="en-GB" sz="1000"/>
          </a:p>
        </xdr:txBody>
      </xdr:sp>
      <xdr:cxnSp macro="">
        <xdr:nvCxnSpPr>
          <xdr:cNvPr id="9" name="Straight Connector 8">
            <a:extLst>
              <a:ext uri="{FF2B5EF4-FFF2-40B4-BE49-F238E27FC236}">
                <a16:creationId xmlns:a16="http://schemas.microsoft.com/office/drawing/2014/main" id="{EBAC37BA-C943-E1A2-89D8-FBFC136B3D06}"/>
              </a:ext>
            </a:extLst>
          </xdr:cNvPr>
          <xdr:cNvCxnSpPr/>
        </xdr:nvCxnSpPr>
        <xdr:spPr>
          <a:xfrm flipV="1">
            <a:off x="266700" y="3327400"/>
            <a:ext cx="2578100" cy="254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19755</xdr:colOff>
      <xdr:row>17</xdr:row>
      <xdr:rowOff>1</xdr:rowOff>
    </xdr:from>
    <xdr:to>
      <xdr:col>9</xdr:col>
      <xdr:colOff>191204</xdr:colOff>
      <xdr:row>27</xdr:row>
      <xdr:rowOff>1411</xdr:rowOff>
    </xdr:to>
    <xdr:grpSp>
      <xdr:nvGrpSpPr>
        <xdr:cNvPr id="10" name="Group 9">
          <a:extLst>
            <a:ext uri="{FF2B5EF4-FFF2-40B4-BE49-F238E27FC236}">
              <a16:creationId xmlns:a16="http://schemas.microsoft.com/office/drawing/2014/main" id="{EDDB4F5A-1AFB-C141-A0EA-75EE02342636}"/>
            </a:ext>
          </a:extLst>
        </xdr:cNvPr>
        <xdr:cNvGrpSpPr/>
      </xdr:nvGrpSpPr>
      <xdr:grpSpPr>
        <a:xfrm>
          <a:off x="6778977" y="3824112"/>
          <a:ext cx="2626783" cy="1976966"/>
          <a:chOff x="241300" y="3327400"/>
          <a:chExt cx="2622550" cy="2032000"/>
        </a:xfrm>
      </xdr:grpSpPr>
      <xdr:graphicFrame macro="">
        <xdr:nvGraphicFramePr>
          <xdr:cNvPr id="11" name="Chart 10">
            <a:extLst>
              <a:ext uri="{FF2B5EF4-FFF2-40B4-BE49-F238E27FC236}">
                <a16:creationId xmlns:a16="http://schemas.microsoft.com/office/drawing/2014/main" id="{BBC17977-92F4-54C5-CBF9-FDCBF17BDCB6}"/>
              </a:ext>
            </a:extLst>
          </xdr:cNvPr>
          <xdr:cNvGraphicFramePr>
            <a:graphicFrameLocks/>
          </xdr:cNvGraphicFramePr>
        </xdr:nvGraphicFramePr>
        <xdr:xfrm>
          <a:off x="241300" y="3695700"/>
          <a:ext cx="2622550" cy="16637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2" name="TextBox 11">
            <a:extLst>
              <a:ext uri="{FF2B5EF4-FFF2-40B4-BE49-F238E27FC236}">
                <a16:creationId xmlns:a16="http://schemas.microsoft.com/office/drawing/2014/main" id="{FE920C3A-775A-DDC2-5879-0880F6CC33E9}"/>
              </a:ext>
            </a:extLst>
          </xdr:cNvPr>
          <xdr:cNvSpPr txBox="1"/>
        </xdr:nvSpPr>
        <xdr:spPr>
          <a:xfrm>
            <a:off x="719666" y="3447129"/>
            <a:ext cx="1755893" cy="262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Average</a:t>
            </a:r>
            <a:r>
              <a:rPr lang="en-GB" sz="1000" baseline="0"/>
              <a:t> Total Asset</a:t>
            </a:r>
            <a:r>
              <a:rPr lang="en-GB" sz="1000"/>
              <a:t> (INR Crs.)</a:t>
            </a:r>
          </a:p>
          <a:p>
            <a:endParaRPr lang="en-GB" sz="1000"/>
          </a:p>
          <a:p>
            <a:endParaRPr lang="en-GB" sz="1000"/>
          </a:p>
        </xdr:txBody>
      </xdr:sp>
      <xdr:cxnSp macro="">
        <xdr:nvCxnSpPr>
          <xdr:cNvPr id="13" name="Straight Connector 12">
            <a:extLst>
              <a:ext uri="{FF2B5EF4-FFF2-40B4-BE49-F238E27FC236}">
                <a16:creationId xmlns:a16="http://schemas.microsoft.com/office/drawing/2014/main" id="{93DE10EA-9BD4-F8E1-09ED-8661F528FD43}"/>
              </a:ext>
            </a:extLst>
          </xdr:cNvPr>
          <xdr:cNvCxnSpPr/>
        </xdr:nvCxnSpPr>
        <xdr:spPr>
          <a:xfrm flipV="1">
            <a:off x="266700" y="3327400"/>
            <a:ext cx="2578100" cy="254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36688</xdr:colOff>
      <xdr:row>30</xdr:row>
      <xdr:rowOff>39511</xdr:rowOff>
    </xdr:from>
    <xdr:to>
      <xdr:col>5</xdr:col>
      <xdr:colOff>12463</xdr:colOff>
      <xdr:row>40</xdr:row>
      <xdr:rowOff>40921</xdr:rowOff>
    </xdr:to>
    <xdr:grpSp>
      <xdr:nvGrpSpPr>
        <xdr:cNvPr id="14" name="Group 13">
          <a:extLst>
            <a:ext uri="{FF2B5EF4-FFF2-40B4-BE49-F238E27FC236}">
              <a16:creationId xmlns:a16="http://schemas.microsoft.com/office/drawing/2014/main" id="{02572BE6-A557-9E4E-9D33-6F582A6F3702}"/>
            </a:ext>
          </a:extLst>
        </xdr:cNvPr>
        <xdr:cNvGrpSpPr/>
      </xdr:nvGrpSpPr>
      <xdr:grpSpPr>
        <a:xfrm>
          <a:off x="3324577" y="6431844"/>
          <a:ext cx="2628664" cy="1976966"/>
          <a:chOff x="241300" y="3327400"/>
          <a:chExt cx="2622550" cy="2032000"/>
        </a:xfrm>
      </xdr:grpSpPr>
      <xdr:graphicFrame macro="">
        <xdr:nvGraphicFramePr>
          <xdr:cNvPr id="15" name="Chart 14">
            <a:extLst>
              <a:ext uri="{FF2B5EF4-FFF2-40B4-BE49-F238E27FC236}">
                <a16:creationId xmlns:a16="http://schemas.microsoft.com/office/drawing/2014/main" id="{10262797-5CDF-A0A7-FED4-C3C377686722}"/>
              </a:ext>
            </a:extLst>
          </xdr:cNvPr>
          <xdr:cNvGraphicFramePr>
            <a:graphicFrameLocks/>
          </xdr:cNvGraphicFramePr>
        </xdr:nvGraphicFramePr>
        <xdr:xfrm>
          <a:off x="241300" y="3695700"/>
          <a:ext cx="2622550" cy="16637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6" name="TextBox 15">
            <a:extLst>
              <a:ext uri="{FF2B5EF4-FFF2-40B4-BE49-F238E27FC236}">
                <a16:creationId xmlns:a16="http://schemas.microsoft.com/office/drawing/2014/main" id="{9B6E05F6-C606-A9BE-88B0-EAB35AB14DB9}"/>
              </a:ext>
            </a:extLst>
          </xdr:cNvPr>
          <xdr:cNvSpPr txBox="1"/>
        </xdr:nvSpPr>
        <xdr:spPr>
          <a:xfrm>
            <a:off x="825500" y="3505200"/>
            <a:ext cx="1244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Return</a:t>
            </a:r>
            <a:r>
              <a:rPr lang="en-GB" sz="1000" baseline="0"/>
              <a:t> on Asset (%)</a:t>
            </a:r>
            <a:endParaRPr lang="en-GB" sz="1000"/>
          </a:p>
          <a:p>
            <a:endParaRPr lang="en-GB" sz="1000"/>
          </a:p>
        </xdr:txBody>
      </xdr:sp>
      <xdr:cxnSp macro="">
        <xdr:nvCxnSpPr>
          <xdr:cNvPr id="17" name="Straight Connector 16">
            <a:extLst>
              <a:ext uri="{FF2B5EF4-FFF2-40B4-BE49-F238E27FC236}">
                <a16:creationId xmlns:a16="http://schemas.microsoft.com/office/drawing/2014/main" id="{993E3B92-375E-1E6F-7898-E17D80575E9A}"/>
              </a:ext>
            </a:extLst>
          </xdr:cNvPr>
          <xdr:cNvCxnSpPr/>
        </xdr:nvCxnSpPr>
        <xdr:spPr>
          <a:xfrm flipV="1">
            <a:off x="266700" y="3327400"/>
            <a:ext cx="2578100" cy="254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19755</xdr:colOff>
      <xdr:row>30</xdr:row>
      <xdr:rowOff>39511</xdr:rowOff>
    </xdr:from>
    <xdr:to>
      <xdr:col>9</xdr:col>
      <xdr:colOff>191204</xdr:colOff>
      <xdr:row>40</xdr:row>
      <xdr:rowOff>40921</xdr:rowOff>
    </xdr:to>
    <xdr:grpSp>
      <xdr:nvGrpSpPr>
        <xdr:cNvPr id="18" name="Group 17">
          <a:extLst>
            <a:ext uri="{FF2B5EF4-FFF2-40B4-BE49-F238E27FC236}">
              <a16:creationId xmlns:a16="http://schemas.microsoft.com/office/drawing/2014/main" id="{17ABDBC3-E520-F641-A773-49BCD8E91908}"/>
            </a:ext>
          </a:extLst>
        </xdr:cNvPr>
        <xdr:cNvGrpSpPr/>
      </xdr:nvGrpSpPr>
      <xdr:grpSpPr>
        <a:xfrm>
          <a:off x="6778977" y="6431844"/>
          <a:ext cx="2626783" cy="1976966"/>
          <a:chOff x="241300" y="3327400"/>
          <a:chExt cx="2622550" cy="2032000"/>
        </a:xfrm>
      </xdr:grpSpPr>
      <xdr:graphicFrame macro="">
        <xdr:nvGraphicFramePr>
          <xdr:cNvPr id="19" name="Chart 18">
            <a:extLst>
              <a:ext uri="{FF2B5EF4-FFF2-40B4-BE49-F238E27FC236}">
                <a16:creationId xmlns:a16="http://schemas.microsoft.com/office/drawing/2014/main" id="{555A00E8-90F3-4837-E2E6-13A957CC1504}"/>
              </a:ext>
            </a:extLst>
          </xdr:cNvPr>
          <xdr:cNvGraphicFramePr>
            <a:graphicFrameLocks/>
          </xdr:cNvGraphicFramePr>
        </xdr:nvGraphicFramePr>
        <xdr:xfrm>
          <a:off x="241300" y="3695700"/>
          <a:ext cx="2622550" cy="16637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0" name="TextBox 19">
            <a:extLst>
              <a:ext uri="{FF2B5EF4-FFF2-40B4-BE49-F238E27FC236}">
                <a16:creationId xmlns:a16="http://schemas.microsoft.com/office/drawing/2014/main" id="{13DA38D7-6A32-7D45-B7F0-B88187F02896}"/>
              </a:ext>
            </a:extLst>
          </xdr:cNvPr>
          <xdr:cNvSpPr txBox="1"/>
        </xdr:nvSpPr>
        <xdr:spPr>
          <a:xfrm>
            <a:off x="825500" y="3505200"/>
            <a:ext cx="12446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Financial</a:t>
            </a:r>
            <a:r>
              <a:rPr lang="en-GB" sz="1000" baseline="0"/>
              <a:t> Leverage</a:t>
            </a:r>
            <a:endParaRPr lang="en-GB" sz="1000"/>
          </a:p>
          <a:p>
            <a:endParaRPr lang="en-GB" sz="1000"/>
          </a:p>
        </xdr:txBody>
      </xdr:sp>
      <xdr:cxnSp macro="">
        <xdr:nvCxnSpPr>
          <xdr:cNvPr id="21" name="Straight Connector 20">
            <a:extLst>
              <a:ext uri="{FF2B5EF4-FFF2-40B4-BE49-F238E27FC236}">
                <a16:creationId xmlns:a16="http://schemas.microsoft.com/office/drawing/2014/main" id="{8FD4DC1D-5765-AF6C-92B3-CA5D6F6AA048}"/>
              </a:ext>
            </a:extLst>
          </xdr:cNvPr>
          <xdr:cNvCxnSpPr/>
        </xdr:nvCxnSpPr>
        <xdr:spPr>
          <a:xfrm flipV="1">
            <a:off x="266700" y="3327400"/>
            <a:ext cx="2578100" cy="254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29</xdr:row>
      <xdr:rowOff>187678</xdr:rowOff>
    </xdr:from>
    <xdr:to>
      <xdr:col>1</xdr:col>
      <xdr:colOff>2906889</xdr:colOff>
      <xdr:row>39</xdr:row>
      <xdr:rowOff>98779</xdr:rowOff>
    </xdr:to>
    <xdr:graphicFrame macro="">
      <xdr:nvGraphicFramePr>
        <xdr:cNvPr id="22" name="Chart 21">
          <a:extLst>
            <a:ext uri="{FF2B5EF4-FFF2-40B4-BE49-F238E27FC236}">
              <a16:creationId xmlns:a16="http://schemas.microsoft.com/office/drawing/2014/main" id="{C74A9D5E-0489-1F49-90AC-83C1B8D69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98778</xdr:colOff>
      <xdr:row>41</xdr:row>
      <xdr:rowOff>70556</xdr:rowOff>
    </xdr:from>
    <xdr:to>
      <xdr:col>9</xdr:col>
      <xdr:colOff>719666</xdr:colOff>
      <xdr:row>58</xdr:row>
      <xdr:rowOff>56444</xdr:rowOff>
    </xdr:to>
    <xdr:sp macro="" textlink="">
      <xdr:nvSpPr>
        <xdr:cNvPr id="23" name="TextBox 22">
          <a:extLst>
            <a:ext uri="{FF2B5EF4-FFF2-40B4-BE49-F238E27FC236}">
              <a16:creationId xmlns:a16="http://schemas.microsoft.com/office/drawing/2014/main" id="{90D2073E-BC29-C1D8-1E92-92B055CAFD0D}"/>
            </a:ext>
          </a:extLst>
        </xdr:cNvPr>
        <xdr:cNvSpPr txBox="1"/>
      </xdr:nvSpPr>
      <xdr:spPr>
        <a:xfrm>
          <a:off x="282222" y="8636000"/>
          <a:ext cx="9652000" cy="3344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dk1"/>
              </a:solidFill>
              <a:effectLst/>
              <a:latin typeface="+mn-lt"/>
              <a:ea typeface="+mn-ea"/>
              <a:cs typeface="+mn-cs"/>
            </a:rPr>
            <a:t>DuPont Analysis — Summary</a:t>
          </a:r>
        </a:p>
        <a:p>
          <a:r>
            <a:rPr lang="en-IN" sz="1100" b="1" i="0">
              <a:solidFill>
                <a:schemeClr val="dk1"/>
              </a:solidFill>
              <a:effectLst/>
              <a:latin typeface="+mn-lt"/>
              <a:ea typeface="+mn-ea"/>
              <a:cs typeface="+mn-cs"/>
            </a:rPr>
            <a:t>Summary &amp; Current Profitability</a:t>
          </a:r>
          <a:endParaRPr lang="en-IN" sz="1100" b="0" i="0">
            <a:solidFill>
              <a:schemeClr val="dk1"/>
            </a:solidFill>
            <a:effectLst/>
            <a:latin typeface="+mn-lt"/>
            <a:ea typeface="+mn-ea"/>
            <a:cs typeface="+mn-cs"/>
          </a:endParaRPr>
        </a:p>
        <a:p>
          <a:pPr lvl="0"/>
          <a:r>
            <a:rPr lang="en-IN" sz="1100" b="1" i="0">
              <a:solidFill>
                <a:schemeClr val="dk1"/>
              </a:solidFill>
              <a:effectLst/>
              <a:latin typeface="+mn-lt"/>
              <a:ea typeface="+mn-ea"/>
              <a:cs typeface="+mn-cs"/>
            </a:rPr>
            <a:t>Purpose:</a:t>
          </a:r>
          <a:r>
            <a:rPr lang="en-IN" sz="1100" b="0" i="0">
              <a:solidFill>
                <a:schemeClr val="dk1"/>
              </a:solidFill>
              <a:effectLst/>
              <a:latin typeface="+mn-lt"/>
              <a:ea typeface="+mn-ea"/>
              <a:cs typeface="+mn-cs"/>
            </a:rPr>
            <a:t> DuPont Analysis decomposes </a:t>
          </a:r>
          <a:r>
            <a:rPr lang="en-IN" sz="1100" b="1" i="0">
              <a:solidFill>
                <a:schemeClr val="dk1"/>
              </a:solidFill>
              <a:effectLst/>
              <a:latin typeface="+mn-lt"/>
              <a:ea typeface="+mn-ea"/>
              <a:cs typeface="+mn-cs"/>
            </a:rPr>
            <a:t>Return on Equity (ROE)</a:t>
          </a:r>
          <a:r>
            <a:rPr lang="en-IN" sz="1100" b="0" i="0">
              <a:solidFill>
                <a:schemeClr val="dk1"/>
              </a:solidFill>
              <a:effectLst/>
              <a:latin typeface="+mn-lt"/>
              <a:ea typeface="+mn-ea"/>
              <a:cs typeface="+mn-cs"/>
            </a:rPr>
            <a:t> into </a:t>
          </a:r>
          <a:r>
            <a:rPr lang="en-IN" sz="1100" b="1" i="0">
              <a:solidFill>
                <a:schemeClr val="dk1"/>
              </a:solidFill>
              <a:effectLst/>
              <a:latin typeface="+mn-lt"/>
              <a:ea typeface="+mn-ea"/>
              <a:cs typeface="+mn-cs"/>
            </a:rPr>
            <a:t>Net Profit Margin × Asset Turnover × Financial Leverage</a:t>
          </a:r>
          <a:r>
            <a:rPr lang="en-IN" sz="1100" b="0" i="0">
              <a:solidFill>
                <a:schemeClr val="dk1"/>
              </a:solidFill>
              <a:effectLst/>
              <a:latin typeface="+mn-lt"/>
              <a:ea typeface="+mn-ea"/>
              <a:cs typeface="+mn-cs"/>
            </a:rPr>
            <a:t>, helping identify the underlying drivers of shareholder returns.</a:t>
          </a:r>
        </a:p>
        <a:p>
          <a:pPr lvl="0"/>
          <a:r>
            <a:rPr lang="en-IN" sz="1100" b="1" i="0">
              <a:solidFill>
                <a:schemeClr val="dk1"/>
              </a:solidFill>
              <a:effectLst/>
              <a:latin typeface="+mn-lt"/>
              <a:ea typeface="+mn-ea"/>
              <a:cs typeface="+mn-cs"/>
            </a:rPr>
            <a:t>Profitability:</a:t>
          </a:r>
          <a:r>
            <a:rPr lang="en-IN" sz="1100" b="0" i="0">
              <a:solidFill>
                <a:schemeClr val="dk1"/>
              </a:solidFill>
              <a:effectLst/>
              <a:latin typeface="+mn-lt"/>
              <a:ea typeface="+mn-ea"/>
              <a:cs typeface="+mn-cs"/>
            </a:rPr>
            <a:t> Infosys continues to demonstrate strong profitability. Q1 FY27 operating margin was </a:t>
          </a:r>
          <a:r>
            <a:rPr lang="en-IN" sz="1100" b="1" i="0">
              <a:solidFill>
                <a:schemeClr val="dk1"/>
              </a:solidFill>
              <a:effectLst/>
              <a:latin typeface="+mn-lt"/>
              <a:ea typeface="+mn-ea"/>
              <a:cs typeface="+mn-cs"/>
            </a:rPr>
            <a:t>21.1%</a:t>
          </a:r>
          <a:r>
            <a:rPr lang="en-IN" sz="1100" b="0" i="0">
              <a:solidFill>
                <a:schemeClr val="dk1"/>
              </a:solidFill>
              <a:effectLst/>
              <a:latin typeface="+mn-lt"/>
              <a:ea typeface="+mn-ea"/>
              <a:cs typeface="+mn-cs"/>
            </a:rPr>
            <a:t>, compared with 20.8% in Q1 FY26, while reported net profit increased </a:t>
          </a:r>
          <a:r>
            <a:rPr lang="en-IN" sz="1100" b="1" i="0">
              <a:solidFill>
                <a:schemeClr val="dk1"/>
              </a:solidFill>
              <a:effectLst/>
              <a:latin typeface="+mn-lt"/>
              <a:ea typeface="+mn-ea"/>
              <a:cs typeface="+mn-cs"/>
            </a:rPr>
            <a:t>12.2% YoY</a:t>
          </a:r>
          <a:r>
            <a:rPr lang="en-IN" sz="1100" b="0" i="0">
              <a:solidFill>
                <a:schemeClr val="dk1"/>
              </a:solidFill>
              <a:effectLst/>
              <a:latin typeface="+mn-lt"/>
              <a:ea typeface="+mn-ea"/>
              <a:cs typeface="+mn-cs"/>
            </a:rPr>
            <a:t> to ₹7,769 crore. </a:t>
          </a:r>
        </a:p>
        <a:p>
          <a:pPr lvl="0"/>
          <a:r>
            <a:rPr lang="en-IN" sz="1100" b="1" i="0">
              <a:solidFill>
                <a:schemeClr val="dk1"/>
              </a:solidFill>
              <a:effectLst/>
              <a:latin typeface="+mn-lt"/>
              <a:ea typeface="+mn-ea"/>
              <a:cs typeface="+mn-cs"/>
            </a:rPr>
            <a:t>Efficiency:</a:t>
          </a:r>
          <a:r>
            <a:rPr lang="en-IN" sz="1100" b="0" i="0">
              <a:solidFill>
                <a:schemeClr val="dk1"/>
              </a:solidFill>
              <a:effectLst/>
              <a:latin typeface="+mn-lt"/>
              <a:ea typeface="+mn-ea"/>
              <a:cs typeface="+mn-cs"/>
            </a:rPr>
            <a:t> The asset-turnover component helps assess how effectively Infosys converts its asset base into revenue. This is particularly relevant for an asset-light IT-services business where returns are influenced heavily by operating efficiency and utilization.</a:t>
          </a:r>
        </a:p>
        <a:p>
          <a:pPr lvl="0"/>
          <a:r>
            <a:rPr lang="en-IN" sz="1100" b="1" i="0">
              <a:solidFill>
                <a:schemeClr val="dk1"/>
              </a:solidFill>
              <a:effectLst/>
              <a:latin typeface="+mn-lt"/>
              <a:ea typeface="+mn-ea"/>
              <a:cs typeface="+mn-cs"/>
            </a:rPr>
            <a:t>Leverage:</a:t>
          </a:r>
          <a:r>
            <a:rPr lang="en-IN" sz="1100" b="0" i="0">
              <a:solidFill>
                <a:schemeClr val="dk1"/>
              </a:solidFill>
              <a:effectLst/>
              <a:latin typeface="+mn-lt"/>
              <a:ea typeface="+mn-ea"/>
              <a:cs typeface="+mn-cs"/>
            </a:rPr>
            <a:t> Financial leverage is relatively limited because Infosys maintains a </a:t>
          </a:r>
          <a:r>
            <a:rPr lang="en-IN" sz="1100" b="1" i="0">
              <a:solidFill>
                <a:schemeClr val="dk1"/>
              </a:solidFill>
              <a:effectLst/>
              <a:latin typeface="+mn-lt"/>
              <a:ea typeface="+mn-ea"/>
              <a:cs typeface="+mn-cs"/>
            </a:rPr>
            <a:t>debt-free balance sheet</a:t>
          </a:r>
          <a:r>
            <a:rPr lang="en-IN" sz="1100" b="0" i="0">
              <a:solidFill>
                <a:schemeClr val="dk1"/>
              </a:solidFill>
              <a:effectLst/>
              <a:latin typeface="+mn-lt"/>
              <a:ea typeface="+mn-ea"/>
              <a:cs typeface="+mn-cs"/>
            </a:rPr>
            <a:t>, meaning its ROE is less dependent on debt-driven leverage. </a:t>
          </a:r>
        </a:p>
        <a:p>
          <a:pPr lvl="0"/>
          <a:r>
            <a:rPr lang="en-IN" sz="1100" b="1" i="0">
              <a:solidFill>
                <a:schemeClr val="dk1"/>
              </a:solidFill>
              <a:effectLst/>
              <a:latin typeface="+mn-lt"/>
              <a:ea typeface="+mn-ea"/>
              <a:cs typeface="+mn-cs"/>
            </a:rPr>
            <a:t>Cash generation:</a:t>
          </a:r>
          <a:r>
            <a:rPr lang="en-IN" sz="1100" b="0" i="0">
              <a:solidFill>
                <a:schemeClr val="dk1"/>
              </a:solidFill>
              <a:effectLst/>
              <a:latin typeface="+mn-lt"/>
              <a:ea typeface="+mn-ea"/>
              <a:cs typeface="+mn-cs"/>
            </a:rPr>
            <a:t> Strong free cash flow supports the quality of reported profitability and provides flexibility for dividends, investments and other capital-allocation decisions. Q1 FY27 FCF was approximately </a:t>
          </a:r>
          <a:r>
            <a:rPr lang="en-IN" sz="1100" b="1" i="0">
              <a:solidFill>
                <a:schemeClr val="dk1"/>
              </a:solidFill>
              <a:effectLst/>
              <a:latin typeface="+mn-lt"/>
              <a:ea typeface="+mn-ea"/>
              <a:cs typeface="+mn-cs"/>
            </a:rPr>
            <a:t>₹9,051 crore</a:t>
          </a:r>
          <a:r>
            <a:rPr lang="en-IN" sz="1100" b="0" i="0">
              <a:solidFill>
                <a:schemeClr val="dk1"/>
              </a:solidFill>
              <a:effectLst/>
              <a:latin typeface="+mn-lt"/>
              <a:ea typeface="+mn-ea"/>
              <a:cs typeface="+mn-cs"/>
            </a:rPr>
            <a:t>. </a:t>
          </a:r>
        </a:p>
        <a:p>
          <a:pPr lvl="0"/>
          <a:r>
            <a:rPr lang="en-IN" sz="1100" b="1" i="0">
              <a:solidFill>
                <a:schemeClr val="dk1"/>
              </a:solidFill>
              <a:effectLst/>
              <a:latin typeface="+mn-lt"/>
              <a:ea typeface="+mn-ea"/>
              <a:cs typeface="+mn-cs"/>
            </a:rPr>
            <a:t>Growth vs profitability:</a:t>
          </a:r>
          <a:r>
            <a:rPr lang="en-IN" sz="1100" b="0" i="0">
              <a:solidFill>
                <a:schemeClr val="dk1"/>
              </a:solidFill>
              <a:effectLst/>
              <a:latin typeface="+mn-lt"/>
              <a:ea typeface="+mn-ea"/>
              <a:cs typeface="+mn-cs"/>
            </a:rPr>
            <a:t> The current situation highlights an important distinction: </a:t>
          </a:r>
          <a:r>
            <a:rPr lang="en-IN" sz="1100" b="1" i="0">
              <a:solidFill>
                <a:schemeClr val="dk1"/>
              </a:solidFill>
              <a:effectLst/>
              <a:latin typeface="+mn-lt"/>
              <a:ea typeface="+mn-ea"/>
              <a:cs typeface="+mn-cs"/>
            </a:rPr>
            <a:t>profitability remains resilient while revenue growth is comparatively subdued</a:t>
          </a:r>
          <a:r>
            <a:rPr lang="en-IN" sz="1100" b="0" i="0">
              <a:solidFill>
                <a:schemeClr val="dk1"/>
              </a:solidFill>
              <a:effectLst/>
              <a:latin typeface="+mn-lt"/>
              <a:ea typeface="+mn-ea"/>
              <a:cs typeface="+mn-cs"/>
            </a:rPr>
            <a:t>. FY27 revenue-growth guidance is 1.5%–3.0%, while operating-margin guidance remains 20%–22%. </a:t>
          </a:r>
        </a:p>
        <a:p>
          <a:pPr lvl="0"/>
          <a:r>
            <a:rPr lang="en-IN" sz="1100" b="1" i="0">
              <a:solidFill>
                <a:schemeClr val="dk1"/>
              </a:solidFill>
              <a:effectLst/>
              <a:latin typeface="+mn-lt"/>
              <a:ea typeface="+mn-ea"/>
              <a:cs typeface="+mn-cs"/>
            </a:rPr>
            <a:t>AI context:</a:t>
          </a:r>
          <a:r>
            <a:rPr lang="en-IN" sz="1100" b="0" i="0">
              <a:solidFill>
                <a:schemeClr val="dk1"/>
              </a:solidFill>
              <a:effectLst/>
              <a:latin typeface="+mn-lt"/>
              <a:ea typeface="+mn-ea"/>
              <a:cs typeface="+mn-cs"/>
            </a:rPr>
            <a:t> AI-related revenue represented </a:t>
          </a:r>
          <a:r>
            <a:rPr lang="en-IN" sz="1100" b="1" i="0">
              <a:solidFill>
                <a:schemeClr val="dk1"/>
              </a:solidFill>
              <a:effectLst/>
              <a:latin typeface="+mn-lt"/>
              <a:ea typeface="+mn-ea"/>
              <a:cs typeface="+mn-cs"/>
            </a:rPr>
            <a:t>8.2% of Q1 FY27 revenue</a:t>
          </a:r>
          <a:r>
            <a:rPr lang="en-IN" sz="1100" b="0" i="0">
              <a:solidFill>
                <a:schemeClr val="dk1"/>
              </a:solidFill>
              <a:effectLst/>
              <a:latin typeface="+mn-lt"/>
              <a:ea typeface="+mn-ea"/>
              <a:cs typeface="+mn-cs"/>
            </a:rPr>
            <a:t>, while large-deal TCV reached </a:t>
          </a:r>
          <a:r>
            <a:rPr lang="en-IN" sz="1100" b="1" i="0">
              <a:solidFill>
                <a:schemeClr val="dk1"/>
              </a:solidFill>
              <a:effectLst/>
              <a:latin typeface="+mn-lt"/>
              <a:ea typeface="+mn-ea"/>
              <a:cs typeface="+mn-cs"/>
            </a:rPr>
            <a:t>$3.6 billion with 61% net-new</a:t>
          </a:r>
          <a:r>
            <a:rPr lang="en-IN" sz="1100" b="0" i="0">
              <a:solidFill>
                <a:schemeClr val="dk1"/>
              </a:solidFill>
              <a:effectLst/>
              <a:latin typeface="+mn-lt"/>
              <a:ea typeface="+mn-ea"/>
              <a:cs typeface="+mn-cs"/>
            </a:rPr>
            <a:t>, indicating potential opportunities for future growth and productivity. </a:t>
          </a:r>
        </a:p>
        <a:p>
          <a:pPr lvl="0"/>
          <a:r>
            <a:rPr lang="en-IN" sz="1100" b="1" i="0">
              <a:solidFill>
                <a:schemeClr val="dk1"/>
              </a:solidFill>
              <a:effectLst/>
              <a:latin typeface="+mn-lt"/>
              <a:ea typeface="+mn-ea"/>
              <a:cs typeface="+mn-cs"/>
            </a:rPr>
            <a:t>Investment relevance:</a:t>
          </a:r>
          <a:r>
            <a:rPr lang="en-IN" sz="1100" b="0" i="0">
              <a:solidFill>
                <a:schemeClr val="dk1"/>
              </a:solidFill>
              <a:effectLst/>
              <a:latin typeface="+mn-lt"/>
              <a:ea typeface="+mn-ea"/>
              <a:cs typeface="+mn-cs"/>
            </a:rPr>
            <a:t> DuPont analysis helps determine whether Infosys's ROE is being supported primarily by </a:t>
          </a:r>
          <a:r>
            <a:rPr lang="en-IN" sz="1100" b="1" i="0">
              <a:solidFill>
                <a:schemeClr val="dk1"/>
              </a:solidFill>
              <a:effectLst/>
              <a:latin typeface="+mn-lt"/>
              <a:ea typeface="+mn-ea"/>
              <a:cs typeface="+mn-cs"/>
            </a:rPr>
            <a:t>underlying profitability and operating efficiency rather than excessive leverage</a:t>
          </a:r>
          <a:r>
            <a:rPr lang="en-IN" sz="1100" b="0" i="0">
              <a:solidFill>
                <a:schemeClr val="dk1"/>
              </a:solidFill>
              <a:effectLst/>
              <a:latin typeface="+mn-lt"/>
              <a:ea typeface="+mn-ea"/>
              <a:cs typeface="+mn-cs"/>
            </a:rPr>
            <a:t>, which is important when assessing the sustainability and quality of returns.</a:t>
          </a:r>
        </a:p>
        <a:p>
          <a:pPr lvl="0"/>
          <a:r>
            <a:rPr lang="en-IN" sz="1100" b="1" i="0">
              <a:solidFill>
                <a:schemeClr val="dk1"/>
              </a:solidFill>
              <a:effectLst/>
              <a:latin typeface="+mn-lt"/>
              <a:ea typeface="+mn-ea"/>
              <a:cs typeface="+mn-cs"/>
            </a:rPr>
            <a:t>Limitation:</a:t>
          </a:r>
          <a:r>
            <a:rPr lang="en-IN" sz="1100" b="0" i="0">
              <a:solidFill>
                <a:schemeClr val="dk1"/>
              </a:solidFill>
              <a:effectLst/>
              <a:latin typeface="+mn-lt"/>
              <a:ea typeface="+mn-ea"/>
              <a:cs typeface="+mn-cs"/>
            </a:rPr>
            <a:t> DuPont is a </a:t>
          </a:r>
          <a:r>
            <a:rPr lang="en-IN" sz="1100" b="1" i="0">
              <a:solidFill>
                <a:schemeClr val="dk1"/>
              </a:solidFill>
              <a:effectLst/>
              <a:latin typeface="+mn-lt"/>
              <a:ea typeface="+mn-ea"/>
              <a:cs typeface="+mn-cs"/>
            </a:rPr>
            <a:t>diagnostic profitability framework</a:t>
          </a:r>
          <a:r>
            <a:rPr lang="en-IN" sz="1100" b="0" i="0">
              <a:solidFill>
                <a:schemeClr val="dk1"/>
              </a:solidFill>
              <a:effectLst/>
              <a:latin typeface="+mn-lt"/>
              <a:ea typeface="+mn-ea"/>
              <a:cs typeface="+mn-cs"/>
            </a:rPr>
            <a:t>. It does not by itself determine fair value or whether Infosys is a BUY/HOLD/SELL.</a:t>
          </a:r>
        </a:p>
        <a:p>
          <a:endParaRPr lang="en-GB" sz="1100"/>
        </a:p>
      </xdr:txBody>
    </xdr:sp>
    <xdr:clientData/>
  </xdr:twoCellAnchor>
  <xdr:twoCellAnchor>
    <xdr:from>
      <xdr:col>1</xdr:col>
      <xdr:colOff>0</xdr:colOff>
      <xdr:row>63</xdr:row>
      <xdr:rowOff>0</xdr:rowOff>
    </xdr:from>
    <xdr:to>
      <xdr:col>5</xdr:col>
      <xdr:colOff>592100</xdr:colOff>
      <xdr:row>64</xdr:row>
      <xdr:rowOff>99119</xdr:rowOff>
    </xdr:to>
    <xdr:sp macro="" textlink="">
      <xdr:nvSpPr>
        <xdr:cNvPr id="24" name="TextBox 23">
          <a:extLst>
            <a:ext uri="{FF2B5EF4-FFF2-40B4-BE49-F238E27FC236}">
              <a16:creationId xmlns:a16="http://schemas.microsoft.com/office/drawing/2014/main" id="{F64ED47D-1F1A-8E47-AF50-61EE0B6A464B}"/>
            </a:ext>
          </a:extLst>
        </xdr:cNvPr>
        <xdr:cNvSpPr txBox="1"/>
      </xdr:nvSpPr>
      <xdr:spPr>
        <a:xfrm>
          <a:off x="183444" y="12911667"/>
          <a:ext cx="6349434" cy="296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407AAA"/>
              </a:solidFill>
            </a:rPr>
            <a:t>Dupont</a:t>
          </a:r>
          <a:r>
            <a:rPr lang="en-GB" sz="1400" b="1" baseline="0">
              <a:solidFill>
                <a:srgbClr val="407AAA"/>
              </a:solidFill>
            </a:rPr>
            <a:t> </a:t>
          </a:r>
          <a:r>
            <a:rPr lang="en-GB" sz="1400" b="1">
              <a:solidFill>
                <a:srgbClr val="407AAA"/>
              </a:solidFill>
            </a:rPr>
            <a:t>Analysis Calculation</a:t>
          </a:r>
        </a:p>
        <a:p>
          <a:endParaRPr lang="en-GB" sz="1400" b="1">
            <a:solidFill>
              <a:srgbClr val="407AAA"/>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56915</xdr:colOff>
      <xdr:row>17</xdr:row>
      <xdr:rowOff>0</xdr:rowOff>
    </xdr:from>
    <xdr:to>
      <xdr:col>1</xdr:col>
      <xdr:colOff>2679465</xdr:colOff>
      <xdr:row>26</xdr:row>
      <xdr:rowOff>172445</xdr:rowOff>
    </xdr:to>
    <xdr:grpSp>
      <xdr:nvGrpSpPr>
        <xdr:cNvPr id="2" name="Group 1">
          <a:extLst>
            <a:ext uri="{FF2B5EF4-FFF2-40B4-BE49-F238E27FC236}">
              <a16:creationId xmlns:a16="http://schemas.microsoft.com/office/drawing/2014/main" id="{00C6FBAA-4440-9F45-8A59-A4EE105ED214}"/>
            </a:ext>
          </a:extLst>
        </xdr:cNvPr>
        <xdr:cNvGrpSpPr/>
      </xdr:nvGrpSpPr>
      <xdr:grpSpPr>
        <a:xfrm>
          <a:off x="240359" y="3852333"/>
          <a:ext cx="2622550" cy="1950445"/>
          <a:chOff x="241300" y="3327400"/>
          <a:chExt cx="2622550" cy="2032000"/>
        </a:xfrm>
      </xdr:grpSpPr>
      <xdr:graphicFrame macro="">
        <xdr:nvGraphicFramePr>
          <xdr:cNvPr id="3" name="Chart 2">
            <a:extLst>
              <a:ext uri="{FF2B5EF4-FFF2-40B4-BE49-F238E27FC236}">
                <a16:creationId xmlns:a16="http://schemas.microsoft.com/office/drawing/2014/main" id="{CD02BD2F-5D5C-DEB5-62F6-677FDD35F34F}"/>
              </a:ext>
            </a:extLst>
          </xdr:cNvPr>
          <xdr:cNvGraphicFramePr>
            <a:graphicFrameLocks/>
          </xdr:cNvGraphicFramePr>
        </xdr:nvGraphicFramePr>
        <xdr:xfrm>
          <a:off x="241300" y="3695700"/>
          <a:ext cx="2622550" cy="16637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3A9509F6-44B3-0C2A-7597-8001183E4D9E}"/>
              </a:ext>
            </a:extLst>
          </xdr:cNvPr>
          <xdr:cNvSpPr txBox="1"/>
        </xdr:nvSpPr>
        <xdr:spPr>
          <a:xfrm>
            <a:off x="825500" y="3505200"/>
            <a:ext cx="1833504" cy="217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Working Capital / Total Assets</a:t>
            </a:r>
          </a:p>
          <a:p>
            <a:endParaRPr lang="en-GB" sz="1000"/>
          </a:p>
        </xdr:txBody>
      </xdr:sp>
      <xdr:cxnSp macro="">
        <xdr:nvCxnSpPr>
          <xdr:cNvPr id="5" name="Straight Connector 4">
            <a:extLst>
              <a:ext uri="{FF2B5EF4-FFF2-40B4-BE49-F238E27FC236}">
                <a16:creationId xmlns:a16="http://schemas.microsoft.com/office/drawing/2014/main" id="{1CB9A559-2042-A1B0-003F-2057C04D3552}"/>
              </a:ext>
            </a:extLst>
          </xdr:cNvPr>
          <xdr:cNvCxnSpPr/>
        </xdr:nvCxnSpPr>
        <xdr:spPr>
          <a:xfrm flipV="1">
            <a:off x="266700" y="3327400"/>
            <a:ext cx="2578100" cy="254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54852</xdr:colOff>
      <xdr:row>17</xdr:row>
      <xdr:rowOff>0</xdr:rowOff>
    </xdr:from>
    <xdr:to>
      <xdr:col>5</xdr:col>
      <xdr:colOff>15191</xdr:colOff>
      <xdr:row>29</xdr:row>
      <xdr:rowOff>16321</xdr:rowOff>
    </xdr:to>
    <xdr:grpSp>
      <xdr:nvGrpSpPr>
        <xdr:cNvPr id="6" name="Group 5">
          <a:extLst>
            <a:ext uri="{FF2B5EF4-FFF2-40B4-BE49-F238E27FC236}">
              <a16:creationId xmlns:a16="http://schemas.microsoft.com/office/drawing/2014/main" id="{CA8DBA0D-7053-9143-A36D-978439D12177}"/>
            </a:ext>
          </a:extLst>
        </xdr:cNvPr>
        <xdr:cNvGrpSpPr/>
      </xdr:nvGrpSpPr>
      <xdr:grpSpPr>
        <a:xfrm>
          <a:off x="3342741" y="3852333"/>
          <a:ext cx="2613228" cy="2386988"/>
          <a:chOff x="228600" y="3327400"/>
          <a:chExt cx="2622550" cy="2362200"/>
        </a:xfrm>
      </xdr:grpSpPr>
      <xdr:graphicFrame macro="">
        <xdr:nvGraphicFramePr>
          <xdr:cNvPr id="7" name="Chart 6">
            <a:extLst>
              <a:ext uri="{FF2B5EF4-FFF2-40B4-BE49-F238E27FC236}">
                <a16:creationId xmlns:a16="http://schemas.microsoft.com/office/drawing/2014/main" id="{7F5558E7-410E-D027-BC09-9AA841A9A122}"/>
              </a:ext>
            </a:extLst>
          </xdr:cNvPr>
          <xdr:cNvGraphicFramePr>
            <a:graphicFrameLocks/>
          </xdr:cNvGraphicFramePr>
        </xdr:nvGraphicFramePr>
        <xdr:xfrm>
          <a:off x="228600" y="4025900"/>
          <a:ext cx="2622550" cy="16637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37D40905-F608-248C-3477-55CAFF7D7E5D}"/>
              </a:ext>
            </a:extLst>
          </xdr:cNvPr>
          <xdr:cNvSpPr txBox="1"/>
        </xdr:nvSpPr>
        <xdr:spPr>
          <a:xfrm>
            <a:off x="613263" y="3475040"/>
            <a:ext cx="1866471" cy="338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Retained Earnings / Total Assets</a:t>
            </a:r>
          </a:p>
          <a:p>
            <a:endParaRPr lang="en-GB" sz="1000"/>
          </a:p>
        </xdr:txBody>
      </xdr:sp>
      <xdr:cxnSp macro="">
        <xdr:nvCxnSpPr>
          <xdr:cNvPr id="9" name="Straight Connector 8">
            <a:extLst>
              <a:ext uri="{FF2B5EF4-FFF2-40B4-BE49-F238E27FC236}">
                <a16:creationId xmlns:a16="http://schemas.microsoft.com/office/drawing/2014/main" id="{7C39108D-ED97-AA10-01EA-B42BBF58F243}"/>
              </a:ext>
            </a:extLst>
          </xdr:cNvPr>
          <xdr:cNvCxnSpPr/>
        </xdr:nvCxnSpPr>
        <xdr:spPr>
          <a:xfrm flipV="1">
            <a:off x="266700" y="3327400"/>
            <a:ext cx="2578100" cy="254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454752</xdr:colOff>
      <xdr:row>17</xdr:row>
      <xdr:rowOff>0</xdr:rowOff>
    </xdr:from>
    <xdr:to>
      <xdr:col>8</xdr:col>
      <xdr:colOff>613638</xdr:colOff>
      <xdr:row>26</xdr:row>
      <xdr:rowOff>108945</xdr:rowOff>
    </xdr:to>
    <xdr:grpSp>
      <xdr:nvGrpSpPr>
        <xdr:cNvPr id="10" name="Group 9">
          <a:extLst>
            <a:ext uri="{FF2B5EF4-FFF2-40B4-BE49-F238E27FC236}">
              <a16:creationId xmlns:a16="http://schemas.microsoft.com/office/drawing/2014/main" id="{635F0084-1303-8749-8569-3C511BA5FDC8}"/>
            </a:ext>
          </a:extLst>
        </xdr:cNvPr>
        <xdr:cNvGrpSpPr/>
      </xdr:nvGrpSpPr>
      <xdr:grpSpPr>
        <a:xfrm>
          <a:off x="6395530" y="3852333"/>
          <a:ext cx="2614219" cy="1886945"/>
          <a:chOff x="241300" y="3327400"/>
          <a:chExt cx="2622550" cy="2032000"/>
        </a:xfrm>
      </xdr:grpSpPr>
      <xdr:graphicFrame macro="">
        <xdr:nvGraphicFramePr>
          <xdr:cNvPr id="11" name="Chart 10">
            <a:extLst>
              <a:ext uri="{FF2B5EF4-FFF2-40B4-BE49-F238E27FC236}">
                <a16:creationId xmlns:a16="http://schemas.microsoft.com/office/drawing/2014/main" id="{9B3A9552-5478-AE76-3438-69B1D6655797}"/>
              </a:ext>
            </a:extLst>
          </xdr:cNvPr>
          <xdr:cNvGraphicFramePr>
            <a:graphicFrameLocks/>
          </xdr:cNvGraphicFramePr>
        </xdr:nvGraphicFramePr>
        <xdr:xfrm>
          <a:off x="241300" y="3695700"/>
          <a:ext cx="2622550" cy="16637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2" name="TextBox 11">
            <a:extLst>
              <a:ext uri="{FF2B5EF4-FFF2-40B4-BE49-F238E27FC236}">
                <a16:creationId xmlns:a16="http://schemas.microsoft.com/office/drawing/2014/main" id="{D2385813-A345-4D0D-D88F-DFD436F4F4B2}"/>
              </a:ext>
            </a:extLst>
          </xdr:cNvPr>
          <xdr:cNvSpPr txBox="1"/>
        </xdr:nvSpPr>
        <xdr:spPr>
          <a:xfrm>
            <a:off x="825500" y="3505200"/>
            <a:ext cx="1841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EBIT / Total Assets</a:t>
            </a:r>
          </a:p>
          <a:p>
            <a:endParaRPr lang="en-GB" sz="1000"/>
          </a:p>
        </xdr:txBody>
      </xdr:sp>
      <xdr:cxnSp macro="">
        <xdr:nvCxnSpPr>
          <xdr:cNvPr id="13" name="Straight Connector 12">
            <a:extLst>
              <a:ext uri="{FF2B5EF4-FFF2-40B4-BE49-F238E27FC236}">
                <a16:creationId xmlns:a16="http://schemas.microsoft.com/office/drawing/2014/main" id="{8F4592C5-EE9D-C15D-B726-CC5FC8DDA7C5}"/>
              </a:ext>
            </a:extLst>
          </xdr:cNvPr>
          <xdr:cNvCxnSpPr/>
        </xdr:nvCxnSpPr>
        <xdr:spPr>
          <a:xfrm flipV="1">
            <a:off x="266700" y="3327400"/>
            <a:ext cx="2578100" cy="254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29</xdr:row>
      <xdr:rowOff>19144</xdr:rowOff>
    </xdr:from>
    <xdr:to>
      <xdr:col>1</xdr:col>
      <xdr:colOff>2622550</xdr:colOff>
      <xdr:row>39</xdr:row>
      <xdr:rowOff>6732</xdr:rowOff>
    </xdr:to>
    <xdr:grpSp>
      <xdr:nvGrpSpPr>
        <xdr:cNvPr id="14" name="Group 13">
          <a:extLst>
            <a:ext uri="{FF2B5EF4-FFF2-40B4-BE49-F238E27FC236}">
              <a16:creationId xmlns:a16="http://schemas.microsoft.com/office/drawing/2014/main" id="{6C7313B8-F3AB-F546-9293-207092990CAB}"/>
            </a:ext>
          </a:extLst>
        </xdr:cNvPr>
        <xdr:cNvGrpSpPr/>
      </xdr:nvGrpSpPr>
      <xdr:grpSpPr>
        <a:xfrm>
          <a:off x="183444" y="6242144"/>
          <a:ext cx="2622550" cy="1963144"/>
          <a:chOff x="241300" y="3327400"/>
          <a:chExt cx="2622550" cy="2031999"/>
        </a:xfrm>
      </xdr:grpSpPr>
      <xdr:graphicFrame macro="">
        <xdr:nvGraphicFramePr>
          <xdr:cNvPr id="15" name="Chart 14">
            <a:extLst>
              <a:ext uri="{FF2B5EF4-FFF2-40B4-BE49-F238E27FC236}">
                <a16:creationId xmlns:a16="http://schemas.microsoft.com/office/drawing/2014/main" id="{E13C05BA-E36B-43E8-8654-D4933AC98C66}"/>
              </a:ext>
            </a:extLst>
          </xdr:cNvPr>
          <xdr:cNvGraphicFramePr>
            <a:graphicFrameLocks/>
          </xdr:cNvGraphicFramePr>
        </xdr:nvGraphicFramePr>
        <xdr:xfrm>
          <a:off x="241300" y="3695699"/>
          <a:ext cx="2622550" cy="16637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6" name="TextBox 15">
            <a:extLst>
              <a:ext uri="{FF2B5EF4-FFF2-40B4-BE49-F238E27FC236}">
                <a16:creationId xmlns:a16="http://schemas.microsoft.com/office/drawing/2014/main" id="{9B38114A-EAFD-0504-FAE0-C7451EA47F41}"/>
              </a:ext>
            </a:extLst>
          </xdr:cNvPr>
          <xdr:cNvSpPr txBox="1"/>
        </xdr:nvSpPr>
        <xdr:spPr>
          <a:xfrm>
            <a:off x="481659" y="3431617"/>
            <a:ext cx="2104907" cy="261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Market Cap / Total Liabilities</a:t>
            </a:r>
          </a:p>
          <a:p>
            <a:endParaRPr lang="en-GB" sz="1000"/>
          </a:p>
        </xdr:txBody>
      </xdr:sp>
      <xdr:cxnSp macro="">
        <xdr:nvCxnSpPr>
          <xdr:cNvPr id="17" name="Straight Connector 16">
            <a:extLst>
              <a:ext uri="{FF2B5EF4-FFF2-40B4-BE49-F238E27FC236}">
                <a16:creationId xmlns:a16="http://schemas.microsoft.com/office/drawing/2014/main" id="{A323B334-85A3-9033-547B-121F67650CE3}"/>
              </a:ext>
            </a:extLst>
          </xdr:cNvPr>
          <xdr:cNvCxnSpPr/>
        </xdr:nvCxnSpPr>
        <xdr:spPr>
          <a:xfrm flipV="1">
            <a:off x="266700" y="3327400"/>
            <a:ext cx="2578100" cy="254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3097859</xdr:colOff>
      <xdr:row>29</xdr:row>
      <xdr:rowOff>145671</xdr:rowOff>
    </xdr:from>
    <xdr:to>
      <xdr:col>4</xdr:col>
      <xdr:colOff>774323</xdr:colOff>
      <xdr:row>40</xdr:row>
      <xdr:rowOff>99264</xdr:rowOff>
    </xdr:to>
    <xdr:grpSp>
      <xdr:nvGrpSpPr>
        <xdr:cNvPr id="18" name="Group 17">
          <a:extLst>
            <a:ext uri="{FF2B5EF4-FFF2-40B4-BE49-F238E27FC236}">
              <a16:creationId xmlns:a16="http://schemas.microsoft.com/office/drawing/2014/main" id="{2A5D03F6-AFCD-6542-B3DF-27D6E8498040}"/>
            </a:ext>
          </a:extLst>
        </xdr:cNvPr>
        <xdr:cNvGrpSpPr/>
      </xdr:nvGrpSpPr>
      <xdr:grpSpPr>
        <a:xfrm>
          <a:off x="3281303" y="6368671"/>
          <a:ext cx="2615353" cy="2126704"/>
          <a:chOff x="228600" y="3482118"/>
          <a:chExt cx="2622550" cy="2207482"/>
        </a:xfrm>
      </xdr:grpSpPr>
      <xdr:graphicFrame macro="">
        <xdr:nvGraphicFramePr>
          <xdr:cNvPr id="19" name="Chart 18">
            <a:extLst>
              <a:ext uri="{FF2B5EF4-FFF2-40B4-BE49-F238E27FC236}">
                <a16:creationId xmlns:a16="http://schemas.microsoft.com/office/drawing/2014/main" id="{A30C9186-C503-F757-A2AF-0E7A17A1BEAC}"/>
              </a:ext>
            </a:extLst>
          </xdr:cNvPr>
          <xdr:cNvGraphicFramePr>
            <a:graphicFrameLocks/>
          </xdr:cNvGraphicFramePr>
        </xdr:nvGraphicFramePr>
        <xdr:xfrm>
          <a:off x="228600" y="4025900"/>
          <a:ext cx="2622550" cy="16637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0" name="TextBox 19">
            <a:extLst>
              <a:ext uri="{FF2B5EF4-FFF2-40B4-BE49-F238E27FC236}">
                <a16:creationId xmlns:a16="http://schemas.microsoft.com/office/drawing/2014/main" id="{40751B6C-24CA-7ED4-D3C3-65F1BCF3C5A5}"/>
              </a:ext>
            </a:extLst>
          </xdr:cNvPr>
          <xdr:cNvSpPr txBox="1"/>
        </xdr:nvSpPr>
        <xdr:spPr>
          <a:xfrm>
            <a:off x="825499" y="3482118"/>
            <a:ext cx="1360403" cy="251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Sales / Total Assets </a:t>
            </a:r>
          </a:p>
          <a:p>
            <a:endParaRPr lang="en-GB" sz="1000"/>
          </a:p>
        </xdr:txBody>
      </xdr:sp>
    </xdr:grpSp>
    <xdr:clientData/>
  </xdr:twoCellAnchor>
  <xdr:twoCellAnchor>
    <xdr:from>
      <xdr:col>5</xdr:col>
      <xdr:colOff>503200</xdr:colOff>
      <xdr:row>29</xdr:row>
      <xdr:rowOff>16321</xdr:rowOff>
    </xdr:from>
    <xdr:to>
      <xdr:col>8</xdr:col>
      <xdr:colOff>662086</xdr:colOff>
      <xdr:row>38</xdr:row>
      <xdr:rowOff>187355</xdr:rowOff>
    </xdr:to>
    <xdr:grpSp>
      <xdr:nvGrpSpPr>
        <xdr:cNvPr id="21" name="Group 20">
          <a:extLst>
            <a:ext uri="{FF2B5EF4-FFF2-40B4-BE49-F238E27FC236}">
              <a16:creationId xmlns:a16="http://schemas.microsoft.com/office/drawing/2014/main" id="{C5C11C20-9748-6E4E-86FE-6FAD010EC7BB}"/>
            </a:ext>
          </a:extLst>
        </xdr:cNvPr>
        <xdr:cNvGrpSpPr/>
      </xdr:nvGrpSpPr>
      <xdr:grpSpPr>
        <a:xfrm>
          <a:off x="6443978" y="6239321"/>
          <a:ext cx="2614219" cy="1949034"/>
          <a:chOff x="241300" y="3327400"/>
          <a:chExt cx="2622550" cy="2032000"/>
        </a:xfrm>
      </xdr:grpSpPr>
      <xdr:graphicFrame macro="">
        <xdr:nvGraphicFramePr>
          <xdr:cNvPr id="22" name="Chart 21">
            <a:extLst>
              <a:ext uri="{FF2B5EF4-FFF2-40B4-BE49-F238E27FC236}">
                <a16:creationId xmlns:a16="http://schemas.microsoft.com/office/drawing/2014/main" id="{8AE0D146-3BDA-6499-844B-FA792C558E7E}"/>
              </a:ext>
            </a:extLst>
          </xdr:cNvPr>
          <xdr:cNvGraphicFramePr>
            <a:graphicFrameLocks/>
          </xdr:cNvGraphicFramePr>
        </xdr:nvGraphicFramePr>
        <xdr:xfrm>
          <a:off x="241300" y="3695700"/>
          <a:ext cx="2622550" cy="16637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3" name="TextBox 22">
            <a:extLst>
              <a:ext uri="{FF2B5EF4-FFF2-40B4-BE49-F238E27FC236}">
                <a16:creationId xmlns:a16="http://schemas.microsoft.com/office/drawing/2014/main" id="{44CB2E85-96E3-8B62-7D0E-3E36263F8168}"/>
              </a:ext>
            </a:extLst>
          </xdr:cNvPr>
          <xdr:cNvSpPr txBox="1"/>
        </xdr:nvSpPr>
        <xdr:spPr>
          <a:xfrm>
            <a:off x="872664" y="3410776"/>
            <a:ext cx="1184448" cy="215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a:t>Altman's Z Score</a:t>
            </a:r>
          </a:p>
        </xdr:txBody>
      </xdr:sp>
      <xdr:cxnSp macro="">
        <xdr:nvCxnSpPr>
          <xdr:cNvPr id="24" name="Straight Connector 23">
            <a:extLst>
              <a:ext uri="{FF2B5EF4-FFF2-40B4-BE49-F238E27FC236}">
                <a16:creationId xmlns:a16="http://schemas.microsoft.com/office/drawing/2014/main" id="{C887D6AA-C424-DB46-345A-4F9BB15A4BF0}"/>
              </a:ext>
            </a:extLst>
          </xdr:cNvPr>
          <xdr:cNvCxnSpPr/>
        </xdr:nvCxnSpPr>
        <xdr:spPr>
          <a:xfrm flipV="1">
            <a:off x="266700" y="3327400"/>
            <a:ext cx="2578100" cy="254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0</xdr:colOff>
      <xdr:row>41</xdr:row>
      <xdr:rowOff>155222</xdr:rowOff>
    </xdr:from>
    <xdr:to>
      <xdr:col>9</xdr:col>
      <xdr:colOff>733777</xdr:colOff>
      <xdr:row>57</xdr:row>
      <xdr:rowOff>155222</xdr:rowOff>
    </xdr:to>
    <xdr:sp macro="" textlink="">
      <xdr:nvSpPr>
        <xdr:cNvPr id="25" name="TextBox 24">
          <a:extLst>
            <a:ext uri="{FF2B5EF4-FFF2-40B4-BE49-F238E27FC236}">
              <a16:creationId xmlns:a16="http://schemas.microsoft.com/office/drawing/2014/main" id="{9EAA97F8-3570-F62A-EB41-95635D2DF90B}"/>
            </a:ext>
          </a:extLst>
        </xdr:cNvPr>
        <xdr:cNvSpPr txBox="1"/>
      </xdr:nvSpPr>
      <xdr:spPr>
        <a:xfrm>
          <a:off x="183444" y="8748889"/>
          <a:ext cx="9764889" cy="31608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dk1"/>
              </a:solidFill>
              <a:effectLst/>
              <a:latin typeface="+mn-lt"/>
              <a:ea typeface="+mn-ea"/>
              <a:cs typeface="+mn-cs"/>
            </a:rPr>
            <a:t>1. Altman Z-Score — Summary</a:t>
          </a:r>
        </a:p>
        <a:p>
          <a:r>
            <a:rPr lang="en-IN" sz="1100" b="1" i="0">
              <a:solidFill>
                <a:schemeClr val="dk1"/>
              </a:solidFill>
              <a:effectLst/>
              <a:latin typeface="+mn-lt"/>
              <a:ea typeface="+mn-ea"/>
              <a:cs typeface="+mn-cs"/>
            </a:rPr>
            <a:t>Summary &amp; Current Financial Position</a:t>
          </a:r>
          <a:endParaRPr lang="en-IN" sz="1100" b="0" i="0">
            <a:solidFill>
              <a:schemeClr val="dk1"/>
            </a:solidFill>
            <a:effectLst/>
            <a:latin typeface="+mn-lt"/>
            <a:ea typeface="+mn-ea"/>
            <a:cs typeface="+mn-cs"/>
          </a:endParaRPr>
        </a:p>
        <a:p>
          <a:pPr lvl="0"/>
          <a:r>
            <a:rPr lang="en-IN" sz="1100" b="1" i="0">
              <a:solidFill>
                <a:schemeClr val="dk1"/>
              </a:solidFill>
              <a:effectLst/>
              <a:latin typeface="+mn-lt"/>
              <a:ea typeface="+mn-ea"/>
              <a:cs typeface="+mn-cs"/>
            </a:rPr>
            <a:t>Purpose:</a:t>
          </a:r>
          <a:r>
            <a:rPr lang="en-IN" sz="1100" b="0" i="0">
              <a:solidFill>
                <a:schemeClr val="dk1"/>
              </a:solidFill>
              <a:effectLst/>
              <a:latin typeface="+mn-lt"/>
              <a:ea typeface="+mn-ea"/>
              <a:cs typeface="+mn-cs"/>
            </a:rPr>
            <a:t> Altman Z-Score is used as a supplementary indicator of Infosys's financial health and potential financial-distress risk. It combines measures of </a:t>
          </a:r>
          <a:r>
            <a:rPr lang="en-IN" sz="1100" b="1" i="0">
              <a:solidFill>
                <a:schemeClr val="dk1"/>
              </a:solidFill>
              <a:effectLst/>
              <a:latin typeface="+mn-lt"/>
              <a:ea typeface="+mn-ea"/>
              <a:cs typeface="+mn-cs"/>
            </a:rPr>
            <a:t>liquidity, profitability, leverage, solvency and asset efficiency</a:t>
          </a:r>
          <a:r>
            <a:rPr lang="en-IN" sz="1100" b="0" i="0">
              <a:solidFill>
                <a:schemeClr val="dk1"/>
              </a:solidFill>
              <a:effectLst/>
              <a:latin typeface="+mn-lt"/>
              <a:ea typeface="+mn-ea"/>
              <a:cs typeface="+mn-cs"/>
            </a:rPr>
            <a:t> into a single score.</a:t>
          </a:r>
        </a:p>
        <a:p>
          <a:pPr lvl="0"/>
          <a:r>
            <a:rPr lang="en-IN" sz="1100" b="1" i="0">
              <a:solidFill>
                <a:schemeClr val="dk1"/>
              </a:solidFill>
              <a:effectLst/>
              <a:latin typeface="+mn-lt"/>
              <a:ea typeface="+mn-ea"/>
              <a:cs typeface="+mn-cs"/>
            </a:rPr>
            <a:t>Interpretation:</a:t>
          </a:r>
          <a:r>
            <a:rPr lang="en-IN" sz="1100" b="0" i="0">
              <a:solidFill>
                <a:schemeClr val="dk1"/>
              </a:solidFill>
              <a:effectLst/>
              <a:latin typeface="+mn-lt"/>
              <a:ea typeface="+mn-ea"/>
              <a:cs typeface="+mn-cs"/>
            </a:rPr>
            <a:t> The historical analysis indicates a </a:t>
          </a:r>
          <a:r>
            <a:rPr lang="en-IN" sz="1100" b="1" i="0">
              <a:solidFill>
                <a:schemeClr val="dk1"/>
              </a:solidFill>
              <a:effectLst/>
              <a:latin typeface="+mn-lt"/>
              <a:ea typeface="+mn-ea"/>
              <a:cs typeface="+mn-cs"/>
            </a:rPr>
            <a:t>strong financial position</a:t>
          </a:r>
          <a:r>
            <a:rPr lang="en-IN" sz="1100" b="0" i="0">
              <a:solidFill>
                <a:schemeClr val="dk1"/>
              </a:solidFill>
              <a:effectLst/>
              <a:latin typeface="+mn-lt"/>
              <a:ea typeface="+mn-ea"/>
              <a:cs typeface="+mn-cs"/>
            </a:rPr>
            <a:t>, consistent with Infosys's asset-light business model, strong profitability and substantial cash generation.</a:t>
          </a:r>
        </a:p>
        <a:p>
          <a:pPr lvl="0"/>
          <a:r>
            <a:rPr lang="en-IN" sz="1100" b="1" i="0">
              <a:solidFill>
                <a:schemeClr val="dk1"/>
              </a:solidFill>
              <a:effectLst/>
              <a:latin typeface="+mn-lt"/>
              <a:ea typeface="+mn-ea"/>
              <a:cs typeface="+mn-cs"/>
            </a:rPr>
            <a:t>Balance sheet:</a:t>
          </a:r>
          <a:r>
            <a:rPr lang="en-IN" sz="1100" b="0" i="0">
              <a:solidFill>
                <a:schemeClr val="dk1"/>
              </a:solidFill>
              <a:effectLst/>
              <a:latin typeface="+mn-lt"/>
              <a:ea typeface="+mn-ea"/>
              <a:cs typeface="+mn-cs"/>
            </a:rPr>
            <a:t> Infosys reported that its balance sheet remained </a:t>
          </a:r>
          <a:r>
            <a:rPr lang="en-IN" sz="1100" b="1" i="0">
              <a:solidFill>
                <a:schemeClr val="dk1"/>
              </a:solidFill>
              <a:effectLst/>
              <a:latin typeface="+mn-lt"/>
              <a:ea typeface="+mn-ea"/>
              <a:cs typeface="+mn-cs"/>
            </a:rPr>
            <a:t>strong and debt-free</a:t>
          </a:r>
          <a:r>
            <a:rPr lang="en-IN" sz="1100" b="0" i="0">
              <a:solidFill>
                <a:schemeClr val="dk1"/>
              </a:solidFill>
              <a:effectLst/>
              <a:latin typeface="+mn-lt"/>
              <a:ea typeface="+mn-ea"/>
              <a:cs typeface="+mn-cs"/>
            </a:rPr>
            <a:t> in Q1 FY27, with approximately </a:t>
          </a:r>
          <a:r>
            <a:rPr lang="en-IN" sz="1100" b="1" i="0">
              <a:solidFill>
                <a:schemeClr val="dk1"/>
              </a:solidFill>
              <a:effectLst/>
              <a:latin typeface="+mn-lt"/>
              <a:ea typeface="+mn-ea"/>
              <a:cs typeface="+mn-cs"/>
            </a:rPr>
            <a:t>$3.9 billion of consolidated cash and cash equivalents</a:t>
          </a:r>
          <a:r>
            <a:rPr lang="en-IN" sz="1100" b="0" i="0">
              <a:solidFill>
                <a:schemeClr val="dk1"/>
              </a:solidFill>
              <a:effectLst/>
              <a:latin typeface="+mn-lt"/>
              <a:ea typeface="+mn-ea"/>
              <a:cs typeface="+mn-cs"/>
            </a:rPr>
            <a:t> at quarter-end. </a:t>
          </a:r>
        </a:p>
        <a:p>
          <a:pPr lvl="0"/>
          <a:r>
            <a:rPr lang="en-IN" sz="1100" b="1" i="0">
              <a:solidFill>
                <a:schemeClr val="dk1"/>
              </a:solidFill>
              <a:effectLst/>
              <a:latin typeface="+mn-lt"/>
              <a:ea typeface="+mn-ea"/>
              <a:cs typeface="+mn-cs"/>
            </a:rPr>
            <a:t>Cash generation:</a:t>
          </a:r>
          <a:r>
            <a:rPr lang="en-IN" sz="1100" b="0" i="0">
              <a:solidFill>
                <a:schemeClr val="dk1"/>
              </a:solidFill>
              <a:effectLst/>
              <a:latin typeface="+mn-lt"/>
              <a:ea typeface="+mn-ea"/>
              <a:cs typeface="+mn-cs"/>
            </a:rPr>
            <a:t> Q1 FY27 free cash flow was approximately </a:t>
          </a:r>
          <a:r>
            <a:rPr lang="en-IN" sz="1100" b="1" i="0">
              <a:solidFill>
                <a:schemeClr val="dk1"/>
              </a:solidFill>
              <a:effectLst/>
              <a:latin typeface="+mn-lt"/>
              <a:ea typeface="+mn-ea"/>
              <a:cs typeface="+mn-cs"/>
            </a:rPr>
            <a:t>$0.96 billion</a:t>
          </a:r>
          <a:r>
            <a:rPr lang="en-IN" sz="1100" b="0" i="0">
              <a:solidFill>
                <a:schemeClr val="dk1"/>
              </a:solidFill>
              <a:effectLst/>
              <a:latin typeface="+mn-lt"/>
              <a:ea typeface="+mn-ea"/>
              <a:cs typeface="+mn-cs"/>
            </a:rPr>
            <a:t>, equivalent to around </a:t>
          </a:r>
          <a:r>
            <a:rPr lang="en-IN" sz="1100" b="1" i="0">
              <a:solidFill>
                <a:schemeClr val="dk1"/>
              </a:solidFill>
              <a:effectLst/>
              <a:latin typeface="+mn-lt"/>
              <a:ea typeface="+mn-ea"/>
              <a:cs typeface="+mn-cs"/>
            </a:rPr>
            <a:t>116% of net profit</a:t>
          </a:r>
          <a:r>
            <a:rPr lang="en-IN" sz="1100" b="0" i="0">
              <a:solidFill>
                <a:schemeClr val="dk1"/>
              </a:solidFill>
              <a:effectLst/>
              <a:latin typeface="+mn-lt"/>
              <a:ea typeface="+mn-ea"/>
              <a:cs typeface="+mn-cs"/>
            </a:rPr>
            <a:t>, providing further support for the company's financial flexibility. </a:t>
          </a:r>
        </a:p>
        <a:p>
          <a:pPr lvl="0"/>
          <a:r>
            <a:rPr lang="en-IN" sz="1100" b="1" i="0">
              <a:solidFill>
                <a:schemeClr val="dk1"/>
              </a:solidFill>
              <a:effectLst/>
              <a:latin typeface="+mn-lt"/>
              <a:ea typeface="+mn-ea"/>
              <a:cs typeface="+mn-cs"/>
            </a:rPr>
            <a:t>Profitability:</a:t>
          </a:r>
          <a:r>
            <a:rPr lang="en-IN" sz="1100" b="0" i="0">
              <a:solidFill>
                <a:schemeClr val="dk1"/>
              </a:solidFill>
              <a:effectLst/>
              <a:latin typeface="+mn-lt"/>
              <a:ea typeface="+mn-ea"/>
              <a:cs typeface="+mn-cs"/>
            </a:rPr>
            <a:t> Q1 FY27 operating margin was </a:t>
          </a:r>
          <a:r>
            <a:rPr lang="en-IN" sz="1100" b="1" i="0">
              <a:solidFill>
                <a:schemeClr val="dk1"/>
              </a:solidFill>
              <a:effectLst/>
              <a:latin typeface="+mn-lt"/>
              <a:ea typeface="+mn-ea"/>
              <a:cs typeface="+mn-cs"/>
            </a:rPr>
            <a:t>21.1%</a:t>
          </a:r>
          <a:r>
            <a:rPr lang="en-IN" sz="1100" b="0" i="0">
              <a:solidFill>
                <a:schemeClr val="dk1"/>
              </a:solidFill>
              <a:effectLst/>
              <a:latin typeface="+mn-lt"/>
              <a:ea typeface="+mn-ea"/>
              <a:cs typeface="+mn-cs"/>
            </a:rPr>
            <a:t>, while FY27 operating-margin guidance remains </a:t>
          </a:r>
          <a:r>
            <a:rPr lang="en-IN" sz="1100" b="1" i="0">
              <a:solidFill>
                <a:schemeClr val="dk1"/>
              </a:solidFill>
              <a:effectLst/>
              <a:latin typeface="+mn-lt"/>
              <a:ea typeface="+mn-ea"/>
              <a:cs typeface="+mn-cs"/>
            </a:rPr>
            <a:t>20%–22%</a:t>
          </a:r>
          <a:r>
            <a:rPr lang="en-IN" sz="1100" b="0" i="0">
              <a:solidFill>
                <a:schemeClr val="dk1"/>
              </a:solidFill>
              <a:effectLst/>
              <a:latin typeface="+mn-lt"/>
              <a:ea typeface="+mn-ea"/>
              <a:cs typeface="+mn-cs"/>
            </a:rPr>
            <a:t>, indicating continued emphasis on profitability despite a challenging demand environment. </a:t>
          </a:r>
        </a:p>
        <a:p>
          <a:pPr lvl="0"/>
          <a:r>
            <a:rPr lang="en-IN" sz="1100" b="1" i="0">
              <a:solidFill>
                <a:schemeClr val="dk1"/>
              </a:solidFill>
              <a:effectLst/>
              <a:latin typeface="+mn-lt"/>
              <a:ea typeface="+mn-ea"/>
              <a:cs typeface="+mn-cs"/>
            </a:rPr>
            <a:t>Business environment:</a:t>
          </a:r>
          <a:r>
            <a:rPr lang="en-IN" sz="1100" b="0" i="0">
              <a:solidFill>
                <a:schemeClr val="dk1"/>
              </a:solidFill>
              <a:effectLst/>
              <a:latin typeface="+mn-lt"/>
              <a:ea typeface="+mn-ea"/>
              <a:cs typeface="+mn-cs"/>
            </a:rPr>
            <a:t> The main near-term concern is not balance-sheet stress but </a:t>
          </a:r>
          <a:r>
            <a:rPr lang="en-IN" sz="1100" b="1" i="0">
              <a:solidFill>
                <a:schemeClr val="dk1"/>
              </a:solidFill>
              <a:effectLst/>
              <a:latin typeface="+mn-lt"/>
              <a:ea typeface="+mn-ea"/>
              <a:cs typeface="+mn-cs"/>
            </a:rPr>
            <a:t>slower revenue growth</a:t>
          </a:r>
          <a:r>
            <a:rPr lang="en-IN" sz="1100" b="0" i="0">
              <a:solidFill>
                <a:schemeClr val="dk1"/>
              </a:solidFill>
              <a:effectLst/>
              <a:latin typeface="+mn-lt"/>
              <a:ea typeface="+mn-ea"/>
              <a:cs typeface="+mn-cs"/>
            </a:rPr>
            <a:t>. Infosys revised FY27 constant-currency revenue-growth guidance to </a:t>
          </a:r>
          <a:r>
            <a:rPr lang="en-IN" sz="1100" b="1" i="0">
              <a:solidFill>
                <a:schemeClr val="dk1"/>
              </a:solidFill>
              <a:effectLst/>
              <a:latin typeface="+mn-lt"/>
              <a:ea typeface="+mn-ea"/>
              <a:cs typeface="+mn-cs"/>
            </a:rPr>
            <a:t>1.5%–3.0%</a:t>
          </a:r>
          <a:r>
            <a:rPr lang="en-IN" sz="1100" b="0" i="0">
              <a:solidFill>
                <a:schemeClr val="dk1"/>
              </a:solidFill>
              <a:effectLst/>
              <a:latin typeface="+mn-lt"/>
              <a:ea typeface="+mn-ea"/>
              <a:cs typeface="+mn-cs"/>
            </a:rPr>
            <a:t>, reflecting a cautious client-spending environment and ongoing technology/AI transition. </a:t>
          </a:r>
        </a:p>
        <a:p>
          <a:pPr lvl="0"/>
          <a:r>
            <a:rPr lang="en-IN" sz="1100" b="1" i="0">
              <a:solidFill>
                <a:schemeClr val="dk1"/>
              </a:solidFill>
              <a:effectLst/>
              <a:latin typeface="+mn-lt"/>
              <a:ea typeface="+mn-ea"/>
              <a:cs typeface="+mn-cs"/>
            </a:rPr>
            <a:t>Investment relevance:</a:t>
          </a:r>
          <a:r>
            <a:rPr lang="en-IN" sz="1100" b="0" i="0">
              <a:solidFill>
                <a:schemeClr val="dk1"/>
              </a:solidFill>
              <a:effectLst/>
              <a:latin typeface="+mn-lt"/>
              <a:ea typeface="+mn-ea"/>
              <a:cs typeface="+mn-cs"/>
            </a:rPr>
            <a:t> The Z-Score therefore supports the view that </a:t>
          </a:r>
          <a:r>
            <a:rPr lang="en-IN" sz="1100" b="1" i="0">
              <a:solidFill>
                <a:schemeClr val="dk1"/>
              </a:solidFill>
              <a:effectLst/>
              <a:latin typeface="+mn-lt"/>
              <a:ea typeface="+mn-ea"/>
              <a:cs typeface="+mn-cs"/>
            </a:rPr>
            <a:t>financial distress is not a central risk to the investment thesis</a:t>
          </a:r>
          <a:r>
            <a:rPr lang="en-IN" sz="1100" b="0" i="0">
              <a:solidFill>
                <a:schemeClr val="dk1"/>
              </a:solidFill>
              <a:effectLst/>
              <a:latin typeface="+mn-lt"/>
              <a:ea typeface="+mn-ea"/>
              <a:cs typeface="+mn-cs"/>
            </a:rPr>
            <a:t>. The more important risks for valuation are growth, margins, client spending and the pace and economics of AI-led transformation.</a:t>
          </a:r>
        </a:p>
        <a:p>
          <a:pPr lvl="0"/>
          <a:r>
            <a:rPr lang="en-IN" sz="1100" b="1" i="0">
              <a:solidFill>
                <a:schemeClr val="dk1"/>
              </a:solidFill>
              <a:effectLst/>
              <a:latin typeface="+mn-lt"/>
              <a:ea typeface="+mn-ea"/>
              <a:cs typeface="+mn-cs"/>
            </a:rPr>
            <a:t>Limitation:</a:t>
          </a:r>
          <a:r>
            <a:rPr lang="en-IN" sz="1100" b="0" i="0">
              <a:solidFill>
                <a:schemeClr val="dk1"/>
              </a:solidFill>
              <a:effectLst/>
              <a:latin typeface="+mn-lt"/>
              <a:ea typeface="+mn-ea"/>
              <a:cs typeface="+mn-cs"/>
            </a:rPr>
            <a:t> Altman Z-Score is used here as a </a:t>
          </a:r>
          <a:r>
            <a:rPr lang="en-IN" sz="1100" b="1" i="0">
              <a:solidFill>
                <a:schemeClr val="dk1"/>
              </a:solidFill>
              <a:effectLst/>
              <a:latin typeface="+mn-lt"/>
              <a:ea typeface="+mn-ea"/>
              <a:cs typeface="+mn-cs"/>
            </a:rPr>
            <a:t>supporting diagnostic</a:t>
          </a:r>
          <a:r>
            <a:rPr lang="en-IN" sz="1100" b="0" i="0">
              <a:solidFill>
                <a:schemeClr val="dk1"/>
              </a:solidFill>
              <a:effectLst/>
              <a:latin typeface="+mn-lt"/>
              <a:ea typeface="+mn-ea"/>
              <a:cs typeface="+mn-cs"/>
            </a:rPr>
            <a:t>, not as a standalone valuation tool or investment recommendation.</a:t>
          </a:r>
        </a:p>
        <a:p>
          <a:endParaRPr lang="en-GB" sz="1100"/>
        </a:p>
      </xdr:txBody>
    </xdr:sp>
    <xdr:clientData/>
  </xdr:twoCellAnchor>
  <xdr:twoCellAnchor>
    <xdr:from>
      <xdr:col>1</xdr:col>
      <xdr:colOff>0</xdr:colOff>
      <xdr:row>63</xdr:row>
      <xdr:rowOff>0</xdr:rowOff>
    </xdr:from>
    <xdr:to>
      <xdr:col>5</xdr:col>
      <xdr:colOff>592100</xdr:colOff>
      <xdr:row>64</xdr:row>
      <xdr:rowOff>99119</xdr:rowOff>
    </xdr:to>
    <xdr:sp macro="" textlink="">
      <xdr:nvSpPr>
        <xdr:cNvPr id="26" name="TextBox 25">
          <a:extLst>
            <a:ext uri="{FF2B5EF4-FFF2-40B4-BE49-F238E27FC236}">
              <a16:creationId xmlns:a16="http://schemas.microsoft.com/office/drawing/2014/main" id="{B8D2F372-154B-6B43-A6A2-F09C7D25496C}"/>
            </a:ext>
          </a:extLst>
        </xdr:cNvPr>
        <xdr:cNvSpPr txBox="1"/>
      </xdr:nvSpPr>
      <xdr:spPr>
        <a:xfrm>
          <a:off x="183444" y="12939889"/>
          <a:ext cx="6349434" cy="2966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rgbClr val="407AAA"/>
              </a:solidFill>
            </a:rPr>
            <a:t>Altman's</a:t>
          </a:r>
          <a:r>
            <a:rPr lang="en-GB" sz="1400" b="1" baseline="0">
              <a:solidFill>
                <a:srgbClr val="407AAA"/>
              </a:solidFill>
            </a:rPr>
            <a:t> Z Score</a:t>
          </a:r>
          <a:r>
            <a:rPr lang="en-GB" sz="1400" b="1">
              <a:solidFill>
                <a:srgbClr val="407AAA"/>
              </a:solidFill>
            </a:rPr>
            <a:t> Analysis Calculation</a:t>
          </a:r>
        </a:p>
        <a:p>
          <a:endParaRPr lang="en-GB" sz="1400" b="1">
            <a:solidFill>
              <a:srgbClr val="407AAA"/>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165240</xdr:colOff>
      <xdr:row>4</xdr:row>
      <xdr:rowOff>14760</xdr:rowOff>
    </xdr:from>
    <xdr:to>
      <xdr:col>7</xdr:col>
      <xdr:colOff>657360</xdr:colOff>
      <xdr:row>22</xdr:row>
      <xdr:rowOff>119520</xdr:rowOff>
    </xdr:to>
    <xdr:graphicFrame macro="">
      <xdr:nvGraphicFramePr>
        <xdr:cNvPr id="2" name="Chart 1">
          <a:extLst>
            <a:ext uri="{FF2B5EF4-FFF2-40B4-BE49-F238E27FC236}">
              <a16:creationId xmlns:a16="http://schemas.microsoft.com/office/drawing/2014/main" id="{00000000-0008-0000-2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s-3/Infosys_Equity_Research_Model%20final%20draft.xlsx" TargetMode="External"/><Relationship Id="rId2" Type="http://schemas.openxmlformats.org/officeDocument/2006/relationships/externalLinkPath" Target="/Users/sujalsingh/Downloads/files-3/Infosys_Equity_Research_Model%20final%20draft.xlsx" TargetMode="External"/><Relationship Id="rId1" Type="http://schemas.openxmlformats.org/officeDocument/2006/relationships/externalLinkPath" Target="/Users/sujalsingh/Downloads/files-3/Infosys_Equity_Research_Model%20final%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hange Log"/>
      <sheetName val="Model Checks"/>
      <sheetName val="Valuation Summary"/>
      <sheetName val="Investment Thesis"/>
      <sheetName val="Legacy vs Integrated"/>
      <sheetName val="Audit Summary"/>
      <sheetName val="HistoricalFS"/>
      <sheetName val="Profit &amp; Loss"/>
      <sheetName val="Balance Sheet"/>
      <sheetName val="Quarters"/>
      <sheetName val="Common Size Statement"/>
      <sheetName val="Ratio Analysis"/>
      <sheetName val="Dupont Analysis"/>
      <sheetName val="Altman Z Score"/>
      <sheetName val="Operating Drivers"/>
      <sheetName val="Forecasting"/>
      <sheetName val="Forecast Scenarios"/>
      <sheetName val="Scenarios"/>
      <sheetName val="Segment Forecast"/>
      <sheetName val="Segment Profitability"/>
      <sheetName val="AI &amp; Business Outlook"/>
      <sheetName val="Normalization Bridge"/>
      <sheetName val="WACC"/>
      <sheetName val="Beta - Regression"/>
      <sheetName val="Peer - Beta Regression"/>
      <sheetName val="Beta - Comps"/>
      <sheetName val="Rm"/>
      <sheetName val="Intrinsic Growth"/>
      <sheetName val="DCF&gt;"/>
      <sheetName val="Integrated Operating Model"/>
      <sheetName val="DCF Integration"/>
      <sheetName val="Comps Val"/>
      <sheetName val="Football Field"/>
      <sheetName val="Data Sheet"/>
      <sheetName val="Data&gt;"/>
      <sheetName val="Raw FS"/>
      <sheetName val="Cash Flo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8">
          <cell r="F68">
            <v>45016</v>
          </cell>
          <cell r="G68">
            <v>45382</v>
          </cell>
          <cell r="H68">
            <v>45747</v>
          </cell>
          <cell r="I68">
            <v>46112</v>
          </cell>
        </row>
        <row r="69">
          <cell r="F69">
            <v>24095</v>
          </cell>
          <cell r="G69">
            <v>26233</v>
          </cell>
          <cell r="H69">
            <v>26713</v>
          </cell>
          <cell r="I69">
            <v>29440</v>
          </cell>
        </row>
        <row r="74">
          <cell r="F74">
            <v>45016</v>
          </cell>
          <cell r="G74">
            <v>45382</v>
          </cell>
          <cell r="H74">
            <v>45747</v>
          </cell>
          <cell r="I74">
            <v>46112</v>
          </cell>
        </row>
        <row r="79">
          <cell r="F79">
            <v>146767</v>
          </cell>
          <cell r="G79">
            <v>153670</v>
          </cell>
          <cell r="H79">
            <v>162990</v>
          </cell>
          <cell r="I79">
            <v>178650</v>
          </cell>
        </row>
        <row r="85">
          <cell r="F85">
            <v>1.6007548571542283</v>
          </cell>
          <cell r="G85">
            <v>1.5937574530799949</v>
          </cell>
          <cell r="H85">
            <v>1.5430263029130014</v>
          </cell>
          <cell r="I85">
            <v>1.6011183547993852</v>
          </cell>
        </row>
        <row r="87">
          <cell r="F87">
            <v>0.31965348209370048</v>
          </cell>
          <cell r="G87">
            <v>0.32084783180347726</v>
          </cell>
          <cell r="H87">
            <v>0.29046288342557652</v>
          </cell>
          <cell r="I87">
            <v>0.31207929188530242</v>
          </cell>
        </row>
        <row r="90">
          <cell r="F90">
            <v>45016</v>
          </cell>
          <cell r="G90">
            <v>45382</v>
          </cell>
          <cell r="H90">
            <v>45747</v>
          </cell>
          <cell r="I90">
            <v>46112</v>
          </cell>
        </row>
        <row r="93">
          <cell r="F93">
            <v>0.19968921578783796</v>
          </cell>
          <cell r="G93">
            <v>0.20131534518218375</v>
          </cell>
          <cell r="H93">
            <v>0.18824234096154185</v>
          </cell>
          <cell r="I93">
            <v>0.19491331852504112</v>
          </cell>
        </row>
        <row r="102">
          <cell r="F102">
            <v>120662.5</v>
          </cell>
          <cell r="G102">
            <v>130308</v>
          </cell>
          <cell r="H102">
            <v>141907.5</v>
          </cell>
          <cell r="I102">
            <v>151041.5</v>
          </cell>
        </row>
      </sheetData>
      <sheetData sheetId="13">
        <row r="68">
          <cell r="C68">
            <v>43921</v>
          </cell>
          <cell r="D68">
            <v>44286</v>
          </cell>
          <cell r="E68">
            <v>44651</v>
          </cell>
          <cell r="F68">
            <v>45016</v>
          </cell>
          <cell r="G68">
            <v>45382</v>
          </cell>
          <cell r="H68">
            <v>45747</v>
          </cell>
          <cell r="I68">
            <v>46112</v>
          </cell>
        </row>
        <row r="71">
          <cell r="C71">
            <v>0.39812636165577342</v>
          </cell>
          <cell r="D71">
            <v>0.38176558677716699</v>
          </cell>
          <cell r="E71">
            <v>0.29370593425798214</v>
          </cell>
          <cell r="F71">
            <v>0.27862050146072104</v>
          </cell>
          <cell r="G71">
            <v>0.32301867372445231</v>
          </cell>
          <cell r="H71">
            <v>0.32970668831827871</v>
          </cell>
          <cell r="I71">
            <v>0.29718448615576065</v>
          </cell>
        </row>
        <row r="74">
          <cell r="C74">
            <v>43921</v>
          </cell>
          <cell r="D74">
            <v>44286</v>
          </cell>
          <cell r="E74">
            <v>44651</v>
          </cell>
          <cell r="F74">
            <v>45016</v>
          </cell>
          <cell r="G74">
            <v>45382</v>
          </cell>
          <cell r="H74">
            <v>45747</v>
          </cell>
          <cell r="I74">
            <v>46112</v>
          </cell>
        </row>
        <row r="77">
          <cell r="C77">
            <v>0.61338779956427014</v>
          </cell>
          <cell r="D77">
            <v>0.58266595976225688</v>
          </cell>
          <cell r="E77">
            <v>0.52525936142689478</v>
          </cell>
          <cell r="F77">
            <v>0.4731853350027288</v>
          </cell>
          <cell r="G77">
            <v>0.50290398470813114</v>
          </cell>
          <cell r="H77">
            <v>0.53200040596772558</v>
          </cell>
          <cell r="I77">
            <v>0.49584543191952712</v>
          </cell>
        </row>
        <row r="82">
          <cell r="C82">
            <v>0.21104575163398692</v>
          </cell>
          <cell r="D82">
            <v>0.22901842602152339</v>
          </cell>
          <cell r="E82">
            <v>0.24000034267405701</v>
          </cell>
          <cell r="F82">
            <v>0.24804167067963659</v>
          </cell>
          <cell r="G82">
            <v>0.23339950007351859</v>
          </cell>
          <cell r="H82">
            <v>0.23291721641462837</v>
          </cell>
          <cell r="I82">
            <v>0.24226122575961836</v>
          </cell>
        </row>
        <row r="87">
          <cell r="C87">
            <v>2.9634457344389977</v>
          </cell>
          <cell r="D87">
            <v>5.4018399431292616</v>
          </cell>
          <cell r="E87">
            <v>6.8495803987557933</v>
          </cell>
          <cell r="F87">
            <v>4.7405656180806366</v>
          </cell>
          <cell r="G87">
            <v>4.5595155482735992</v>
          </cell>
          <cell r="H87">
            <v>4.4035029357239424</v>
          </cell>
          <cell r="I87">
            <v>3.2802967045312657</v>
          </cell>
        </row>
        <row r="90">
          <cell r="C90">
            <v>43921</v>
          </cell>
          <cell r="D90">
            <v>44286</v>
          </cell>
          <cell r="E90">
            <v>44651</v>
          </cell>
          <cell r="F90">
            <v>45016</v>
          </cell>
          <cell r="G90">
            <v>45382</v>
          </cell>
          <cell r="H90">
            <v>45747</v>
          </cell>
          <cell r="I90">
            <v>46112</v>
          </cell>
        </row>
        <row r="93">
          <cell r="C93">
            <v>0.98900871459694994</v>
          </cell>
          <cell r="D93">
            <v>0.9345276297309113</v>
          </cell>
          <cell r="E93">
            <v>1.0420803742000702</v>
          </cell>
          <cell r="F93">
            <v>1.1779431121384314</v>
          </cell>
          <cell r="G93">
            <v>1.1297603293633289</v>
          </cell>
          <cell r="H93">
            <v>1.1028113264995434</v>
          </cell>
          <cell r="I93">
            <v>1.1578995125998133</v>
          </cell>
        </row>
        <row r="96">
          <cell r="C96">
            <v>43921</v>
          </cell>
          <cell r="D96">
            <v>44286</v>
          </cell>
          <cell r="E96">
            <v>44651</v>
          </cell>
          <cell r="F96">
            <v>45016</v>
          </cell>
          <cell r="G96">
            <v>45382</v>
          </cell>
          <cell r="H96">
            <v>45747</v>
          </cell>
          <cell r="I96">
            <v>46112</v>
          </cell>
        </row>
        <row r="97">
          <cell r="C97">
            <v>4.8000216890294114</v>
          </cell>
          <cell r="D97">
            <v>6.205243449279255</v>
          </cell>
          <cell r="E97">
            <v>7.0316399713851645</v>
          </cell>
          <cell r="F97">
            <v>5.8376240669862991</v>
          </cell>
          <cell r="G97">
            <v>5.7273759956308261</v>
          </cell>
          <cell r="H97">
            <v>5.6539884964389326</v>
          </cell>
          <cell r="I97">
            <v>4.976344568399564</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tableColumns count="1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tableColumns count="1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s>
  <tableStyleInfo showFirstColumn="0" showLastColumn="0" showRowStripes="1" showColumnStripes="0"/>
</table>
</file>

<file path=xl/theme/theme1.xml><?xml version="1.0" encoding="utf-8"?>
<a:theme xmlns:a="http://schemas.openxmlformats.org/drawingml/2006/main" name="Adjacency">
  <a:themeElements>
    <a:clrScheme name="Concourse">
      <a:dk1>
        <a:srgbClr val="000000"/>
      </a:dk1>
      <a:lt1>
        <a:srgbClr val="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majorFont>
      <a:minorFont>
        <a:latin typeface="Calibri"/>
        <a:ea typeface=""/>
        <a:cs typeface=""/>
      </a:minorFont>
    </a:fontScheme>
    <a:fmtScheme>
      <a:fillStyleLst>
        <a:solidFill>
          <a:schemeClr val="phClr"/>
        </a:solidFill>
        <a:solidFill>
          <a:schemeClr val="phClr">
            <a:tint val="55000"/>
          </a:schemeClr>
        </a:solidFill>
        <a:solidFill>
          <a:schemeClr val="phClr"/>
        </a:solidFill>
      </a:fillStyleLst>
      <a:lnStyleLst>
        <a:ln w="12700"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90000"/>
              </a:schemeClr>
            </a:gs>
            <a:gs pos="75000">
              <a:schemeClr val="phClr">
                <a:shade val="100000"/>
              </a:schemeClr>
            </a:gs>
            <a:gs pos="100000">
              <a:schemeClr val="phClr">
                <a:shade val="70000"/>
              </a:schemeClr>
            </a:gs>
          </a:gsLst>
          <a:path path="circle">
            <a:fillToRect l="20000" t="50000" r="100000" b="50000"/>
          </a:path>
          <a:tileRect/>
        </a:gradFill>
        <a:blipFill rotWithShape="1">
          <a:srcRect/>
          <a:tile tx="0" ty="0" sx="32000" sy="32000" flip="none" algn="tl"/>
        </a:blip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www.infosys.com/about/last-quarter.html" TargetMode="External"/><Relationship Id="rId1" Type="http://schemas.openxmlformats.org/officeDocument/2006/relationships/hyperlink" Target="https://www.infosys.com/investors/reports-filings/annual-report/annual-reports/ar-2025-26.html" TargetMode="Externa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H35"/>
  <sheetViews>
    <sheetView zoomScaleNormal="100" workbookViewId="0">
      <pane ySplit="5" topLeftCell="A6" activePane="bottomLeft" state="frozen"/>
      <selection pane="bottomLeft" activeCell="D38" sqref="D38"/>
    </sheetView>
  </sheetViews>
  <sheetFormatPr baseColWidth="10" defaultColWidth="8.6640625" defaultRowHeight="15" x14ac:dyDescent="0.2"/>
  <cols>
    <col min="1" max="1" width="46" customWidth="1"/>
    <col min="2" max="2" width="20" customWidth="1"/>
    <col min="3" max="3" width="14" customWidth="1"/>
    <col min="4" max="4" width="55" customWidth="1"/>
    <col min="5" max="6" width="15" customWidth="1"/>
  </cols>
  <sheetData>
    <row r="1" spans="1:8" ht="17.25" customHeight="1" x14ac:dyDescent="0.2">
      <c r="A1" s="12" t="s">
        <v>0</v>
      </c>
      <c r="B1" s="12"/>
      <c r="C1" s="12"/>
      <c r="D1" s="12"/>
      <c r="E1" s="12"/>
      <c r="F1" s="12"/>
      <c r="G1" s="12"/>
      <c r="H1" s="12"/>
    </row>
    <row r="2" spans="1:8" ht="15" customHeight="1" x14ac:dyDescent="0.2">
      <c r="A2" s="11" t="s">
        <v>1</v>
      </c>
      <c r="B2" s="11"/>
      <c r="C2" s="11"/>
      <c r="D2" s="11"/>
      <c r="E2" s="11"/>
      <c r="F2" s="11"/>
      <c r="G2" s="15"/>
      <c r="H2" s="15"/>
    </row>
    <row r="3" spans="1:8" ht="15" customHeight="1" x14ac:dyDescent="0.2">
      <c r="A3" s="15"/>
      <c r="B3" s="15"/>
      <c r="C3" s="15"/>
      <c r="D3" s="15"/>
      <c r="E3" s="15"/>
      <c r="F3" s="15"/>
      <c r="G3" s="15"/>
      <c r="H3" s="15"/>
    </row>
    <row r="4" spans="1:8" ht="15" customHeight="1" x14ac:dyDescent="0.2">
      <c r="A4" s="16" t="s">
        <v>2</v>
      </c>
      <c r="B4" s="16"/>
      <c r="C4" s="16"/>
      <c r="D4" s="16"/>
      <c r="E4" s="16"/>
      <c r="F4" s="16"/>
      <c r="G4" s="15"/>
      <c r="H4" s="15"/>
    </row>
    <row r="5" spans="1:8" ht="15" customHeight="1" x14ac:dyDescent="0.2">
      <c r="A5" s="17" t="s">
        <v>3</v>
      </c>
      <c r="B5" s="17" t="s">
        <v>4</v>
      </c>
      <c r="C5" s="17" t="s">
        <v>5</v>
      </c>
      <c r="D5" s="17" t="s">
        <v>6</v>
      </c>
      <c r="E5" s="15"/>
      <c r="F5" s="15"/>
      <c r="G5" s="15"/>
      <c r="H5" s="15"/>
    </row>
    <row r="6" spans="1:8" ht="15" customHeight="1" x14ac:dyDescent="0.2">
      <c r="A6" s="15" t="s">
        <v>7</v>
      </c>
      <c r="B6" s="15" t="b">
        <f>AND(HistoricalFS!C66:L66)</f>
        <v>1</v>
      </c>
      <c r="C6" s="18" t="str">
        <f t="shared" ref="C6:C27" si="0">IF(B6,"PASS","REVIEW")</f>
        <v>PASS</v>
      </c>
      <c r="D6" s="15" t="s">
        <v>8</v>
      </c>
      <c r="E6" s="15"/>
      <c r="F6" s="15"/>
      <c r="G6" s="15"/>
      <c r="H6" s="15"/>
    </row>
    <row r="7" spans="1:8" ht="15" customHeight="1" x14ac:dyDescent="0.2">
      <c r="A7" s="15" t="s">
        <v>9</v>
      </c>
      <c r="B7" s="15" t="b">
        <f>'Operating Drivers'!B47="PASS"</f>
        <v>1</v>
      </c>
      <c r="C7" s="18" t="str">
        <f t="shared" si="0"/>
        <v>PASS</v>
      </c>
      <c r="D7" s="15" t="s">
        <v>10</v>
      </c>
      <c r="E7" s="15"/>
      <c r="F7" s="15"/>
      <c r="G7" s="15"/>
      <c r="H7" s="15"/>
    </row>
    <row r="8" spans="1:8" ht="15" customHeight="1" x14ac:dyDescent="0.2">
      <c r="A8" s="15" t="s">
        <v>11</v>
      </c>
      <c r="B8" s="15" t="b">
        <f>ABS('Operating Drivers'!B46-'Operating Drivers'!B44/'Operating Drivers'!B45)&lt;0.000001</f>
        <v>1</v>
      </c>
      <c r="C8" s="18" t="str">
        <f t="shared" si="0"/>
        <v>PASS</v>
      </c>
      <c r="D8" s="15" t="s">
        <v>12</v>
      </c>
      <c r="E8" s="15"/>
      <c r="F8" s="15"/>
      <c r="G8" s="15"/>
      <c r="H8" s="15"/>
    </row>
    <row r="9" spans="1:8" ht="27.75" customHeight="1" x14ac:dyDescent="0.2">
      <c r="A9" s="15" t="s">
        <v>13</v>
      </c>
      <c r="B9" s="15" t="b">
        <f>ABS('Operating Drivers'!B37-'Operating Drivers'!B34/'Operating Drivers'!B36)&lt;0.000001</f>
        <v>1</v>
      </c>
      <c r="C9" s="18" t="str">
        <f t="shared" si="0"/>
        <v>PASS</v>
      </c>
      <c r="D9" s="15" t="s">
        <v>14</v>
      </c>
      <c r="E9" s="15"/>
      <c r="F9" s="15"/>
      <c r="G9" s="15"/>
      <c r="H9" s="15"/>
    </row>
    <row r="10" spans="1:8" ht="27.75" customHeight="1" x14ac:dyDescent="0.2">
      <c r="A10" s="15" t="s">
        <v>15</v>
      </c>
      <c r="B10" s="15" t="b">
        <f>ABS('DCF&gt;'!F10-'Operating Drivers'!B38)&lt;0.000001</f>
        <v>1</v>
      </c>
      <c r="C10" s="18" t="str">
        <f t="shared" si="0"/>
        <v>PASS</v>
      </c>
      <c r="D10" s="15" t="s">
        <v>16</v>
      </c>
      <c r="E10" s="15"/>
      <c r="F10" s="15"/>
      <c r="G10" s="15"/>
      <c r="H10" s="15"/>
    </row>
    <row r="11" spans="1:8" ht="27.75" customHeight="1" x14ac:dyDescent="0.2">
      <c r="A11" s="15" t="s">
        <v>17</v>
      </c>
      <c r="B11" s="15" t="b">
        <f>ABS(WACC!E28-'Operating Drivers'!B48)&lt;0.000001</f>
        <v>1</v>
      </c>
      <c r="C11" s="18" t="str">
        <f t="shared" si="0"/>
        <v>PASS</v>
      </c>
      <c r="D11" s="15" t="s">
        <v>18</v>
      </c>
      <c r="E11" s="15"/>
      <c r="F11" s="15"/>
      <c r="G11" s="15"/>
      <c r="H11" s="15"/>
    </row>
    <row r="12" spans="1:8" ht="27.75" customHeight="1" x14ac:dyDescent="0.2">
      <c r="A12" s="15" t="s">
        <v>19</v>
      </c>
      <c r="B12" s="15" t="b">
        <f>ABS(('DCF&gt;'!D40/('DCF&gt;'!D34))-1/(1+'DCF&gt;'!F26)^4.5)&lt;0.000001</f>
        <v>1</v>
      </c>
      <c r="C12" s="18" t="str">
        <f t="shared" si="0"/>
        <v>PASS</v>
      </c>
      <c r="D12" s="15" t="s">
        <v>20</v>
      </c>
      <c r="E12" s="15"/>
      <c r="F12" s="15"/>
      <c r="G12" s="15"/>
      <c r="H12" s="15"/>
    </row>
    <row r="13" spans="1:8" ht="27.75" customHeight="1" x14ac:dyDescent="0.2">
      <c r="A13" s="15" t="s">
        <v>21</v>
      </c>
      <c r="B13" s="15" t="b">
        <f>ABS('DCF&gt;'!D48-Scenarios!K4)&lt;1</f>
        <v>1</v>
      </c>
      <c r="C13" s="18" t="str">
        <f t="shared" si="0"/>
        <v>PASS</v>
      </c>
      <c r="D13" s="15" t="s">
        <v>22</v>
      </c>
      <c r="E13" s="15"/>
      <c r="F13" s="15"/>
      <c r="G13" s="15"/>
      <c r="H13" s="15"/>
    </row>
    <row r="14" spans="1:8" ht="27.75" customHeight="1" x14ac:dyDescent="0.2">
      <c r="A14" s="15" t="s">
        <v>23</v>
      </c>
      <c r="B14" s="15" t="b">
        <f>ISNUMBER('DCF&gt;'!D65)</f>
        <v>1</v>
      </c>
      <c r="C14" s="18" t="str">
        <f t="shared" si="0"/>
        <v>PASS</v>
      </c>
      <c r="D14" s="15" t="s">
        <v>24</v>
      </c>
      <c r="E14" s="15"/>
      <c r="F14" s="15"/>
      <c r="G14" s="15"/>
      <c r="H14" s="15"/>
    </row>
    <row r="15" spans="1:8" ht="27.75" customHeight="1" x14ac:dyDescent="0.2">
      <c r="A15" s="15" t="s">
        <v>25</v>
      </c>
      <c r="B15" s="15" t="b">
        <f>Forecasting!R18="PASS"</f>
        <v>1</v>
      </c>
      <c r="C15" s="18" t="str">
        <f t="shared" si="0"/>
        <v>PASS</v>
      </c>
      <c r="D15" s="15" t="s">
        <v>26</v>
      </c>
      <c r="E15" s="15"/>
      <c r="F15" s="15"/>
      <c r="G15" s="15"/>
      <c r="H15" s="15"/>
    </row>
    <row r="16" spans="1:8" ht="27.75" customHeight="1" x14ac:dyDescent="0.2">
      <c r="A16" s="15" t="s">
        <v>27</v>
      </c>
      <c r="B16" s="15" t="b">
        <f>AND('Operating Drivers'!B38='Operating Drivers'!C38,'Operating Drivers'!C38='Operating Drivers'!D38,'Operating Drivers'!D38='Operating Drivers'!E38,'Operating Drivers'!E38='Operating Drivers'!F38)</f>
        <v>1</v>
      </c>
      <c r="C16" s="19" t="str">
        <f t="shared" si="0"/>
        <v>PASS</v>
      </c>
      <c r="D16" s="15" t="s">
        <v>28</v>
      </c>
      <c r="E16" s="15"/>
      <c r="F16" s="15"/>
      <c r="G16" s="15"/>
      <c r="H16" s="15"/>
    </row>
    <row r="17" spans="1:8" ht="27.75" customHeight="1" x14ac:dyDescent="0.2">
      <c r="A17" s="15" t="s">
        <v>29</v>
      </c>
      <c r="B17" s="15" t="b">
        <f>ABS('Operating Drivers'!B29-'Operating Drivers'!B34)&lt;0.001</f>
        <v>1</v>
      </c>
      <c r="C17" s="19" t="str">
        <f t="shared" si="0"/>
        <v>PASS</v>
      </c>
      <c r="D17" s="15" t="s">
        <v>30</v>
      </c>
      <c r="E17" s="15"/>
      <c r="F17" s="15"/>
      <c r="G17" s="15"/>
      <c r="H17" s="15"/>
    </row>
    <row r="18" spans="1:8" ht="15" customHeight="1" x14ac:dyDescent="0.2">
      <c r="A18" s="15" t="s">
        <v>31</v>
      </c>
      <c r="B18" s="15" t="b">
        <f>SUMPRODUCT(ABS('Segment Profitability'!C3:C10-'Segment Forecast'!D3:D10))+SUMPRODUCT(ABS('Segment Profitability'!D3:D10-'Segment Forecast'!E3:E10))+SUMPRODUCT(ABS('Segment Profitability'!E3:E10-'Segment Forecast'!F3:F10))+SUMPRODUCT(ABS('Segment Profitability'!F3:F10-'Segment Forecast'!G3:G10))+SUMPRODUCT(ABS('Segment Profitability'!G3:G10-'Segment Forecast'!H3:H10))&lt;0.01</f>
        <v>1</v>
      </c>
      <c r="C18" s="15" t="str">
        <f t="shared" si="0"/>
        <v>PASS</v>
      </c>
      <c r="D18" s="15" t="s">
        <v>32</v>
      </c>
      <c r="E18" s="15"/>
      <c r="F18" s="15"/>
      <c r="G18" s="15"/>
      <c r="H18" s="15"/>
    </row>
    <row r="19" spans="1:8" ht="15" customHeight="1" x14ac:dyDescent="0.2">
      <c r="A19" s="15" t="s">
        <v>33</v>
      </c>
      <c r="B19" s="15" t="b">
        <f>SUMPRODUCT(ABS('Segment Profitability'!C10:G10-'Segment Forecast'!D10:H10))&lt;0.01</f>
        <v>1</v>
      </c>
      <c r="C19" s="15" t="str">
        <f t="shared" si="0"/>
        <v>PASS</v>
      </c>
      <c r="D19" s="15" t="s">
        <v>34</v>
      </c>
      <c r="E19" s="15"/>
      <c r="F19" s="15"/>
      <c r="G19" s="15"/>
      <c r="H19" s="15"/>
    </row>
    <row r="20" spans="1:8" ht="15" customHeight="1" x14ac:dyDescent="0.2">
      <c r="A20" s="15" t="s">
        <v>35</v>
      </c>
      <c r="B20" s="15" t="b">
        <f>ABS('Operating Drivers'!B29-SUMPRODUCT('Operating Drivers'!C21:C28,'Operating Drivers'!E21:E28)/SUM('Operating Drivers'!C21:C28))&lt;0.000001</f>
        <v>1</v>
      </c>
      <c r="C20" s="15" t="str">
        <f t="shared" si="0"/>
        <v>PASS</v>
      </c>
      <c r="D20" s="15" t="s">
        <v>36</v>
      </c>
      <c r="E20" s="15"/>
      <c r="F20" s="15"/>
      <c r="G20" s="15"/>
      <c r="H20" s="15"/>
    </row>
    <row r="21" spans="1:8" ht="15" customHeight="1" x14ac:dyDescent="0.2">
      <c r="A21" s="15" t="s">
        <v>37</v>
      </c>
      <c r="B21" s="15" t="b">
        <f>ABS('Operating Drivers'!B41-('Segment Profitability'!B32-'Normalization Bridge'!B5)/'Segment Profitability'!B31)&lt;0.000001</f>
        <v>1</v>
      </c>
      <c r="C21" s="15" t="str">
        <f t="shared" si="0"/>
        <v>PASS</v>
      </c>
      <c r="D21" s="15" t="s">
        <v>38</v>
      </c>
      <c r="E21" s="15"/>
      <c r="F21" s="15"/>
      <c r="G21" s="15"/>
      <c r="H21" s="15"/>
    </row>
    <row r="22" spans="1:8" ht="15" customHeight="1" x14ac:dyDescent="0.2">
      <c r="A22" s="15" t="s">
        <v>39</v>
      </c>
      <c r="B22" s="15" t="b">
        <f>SUMPRODUCT(ABS('Integrated Operating Model'!C8:G8-('Integrated Operating Model'!C5:G5-'Integrated Operating Model'!C7:G7)))&lt;0.01</f>
        <v>1</v>
      </c>
      <c r="C22" s="15" t="str">
        <f t="shared" si="0"/>
        <v>PASS</v>
      </c>
      <c r="D22" s="15" t="s">
        <v>40</v>
      </c>
      <c r="E22" s="15"/>
      <c r="F22" s="15"/>
      <c r="G22" s="15"/>
      <c r="H22" s="15"/>
    </row>
    <row r="23" spans="1:8" ht="15" customHeight="1" x14ac:dyDescent="0.2">
      <c r="A23" s="15" t="s">
        <v>41</v>
      </c>
      <c r="B23" s="15" t="b">
        <f>AND('DCF Integration'!B8='Operating Drivers'!B44,'DCF Integration'!G8='Operating Drivers'!B44,'DCF Integration'!B9='Operating Drivers'!B45)</f>
        <v>1</v>
      </c>
      <c r="C23" s="15" t="str">
        <f t="shared" si="0"/>
        <v>PASS</v>
      </c>
      <c r="D23" s="15" t="s">
        <v>42</v>
      </c>
      <c r="E23" s="15"/>
      <c r="F23" s="15"/>
      <c r="G23" s="15"/>
      <c r="H23" s="15"/>
    </row>
    <row r="24" spans="1:8" ht="15" customHeight="1" x14ac:dyDescent="0.2">
      <c r="A24" s="15" t="s">
        <v>43</v>
      </c>
      <c r="B24" s="15" t="b">
        <f>ABS('DCF Integration'!G19-('DCF Integration'!G15-'DCF Integration'!G18))&lt;0.01</f>
        <v>1</v>
      </c>
      <c r="C24" s="15" t="str">
        <f t="shared" si="0"/>
        <v>PASS</v>
      </c>
      <c r="D24" s="15" t="s">
        <v>44</v>
      </c>
      <c r="E24" s="15"/>
      <c r="F24" s="15"/>
      <c r="G24" s="15"/>
      <c r="H24" s="15"/>
    </row>
    <row r="25" spans="1:8" ht="15" customHeight="1" x14ac:dyDescent="0.2">
      <c r="A25" s="15" t="s">
        <v>45</v>
      </c>
      <c r="B25" s="15" t="b">
        <f>ABS('DCF Integration'!G21-'DCF Integration'!G19/'DCF Integration'!G20)&lt;0.01</f>
        <v>1</v>
      </c>
      <c r="C25" s="15" t="str">
        <f t="shared" si="0"/>
        <v>PASS</v>
      </c>
      <c r="D25" s="15" t="s">
        <v>46</v>
      </c>
      <c r="E25" s="15"/>
      <c r="F25" s="15"/>
      <c r="G25" s="15"/>
      <c r="H25" s="15"/>
    </row>
    <row r="26" spans="1:8" ht="15" customHeight="1" x14ac:dyDescent="0.2">
      <c r="A26" s="15" t="s">
        <v>47</v>
      </c>
      <c r="B26" s="15" t="b">
        <f>AND(ISNUMBER('Comps Val'!O28),ISNUMBER('Comps Val'!P28),ISNUMBER('Comps Val'!Q28))</f>
        <v>1</v>
      </c>
      <c r="C26" s="15" t="str">
        <f t="shared" si="0"/>
        <v>PASS</v>
      </c>
      <c r="D26" s="15" t="s">
        <v>48</v>
      </c>
      <c r="E26" s="15"/>
      <c r="F26" s="15"/>
      <c r="G26" s="15"/>
      <c r="H26" s="15"/>
    </row>
    <row r="27" spans="1:8" ht="27.75" customHeight="1" x14ac:dyDescent="0.2">
      <c r="A27" s="15" t="s">
        <v>49</v>
      </c>
      <c r="B27" s="15" t="b">
        <f>MAX('Beta - Regression'!B10:B114)&gt;=DATE(2026,8,1)</f>
        <v>1</v>
      </c>
      <c r="C27" s="15" t="str">
        <f t="shared" si="0"/>
        <v>PASS</v>
      </c>
      <c r="D27" s="15" t="s">
        <v>50</v>
      </c>
      <c r="E27" s="15"/>
      <c r="F27" s="15"/>
      <c r="G27" s="15"/>
      <c r="H27" s="15"/>
    </row>
    <row r="28" spans="1:8" ht="15" customHeight="1" x14ac:dyDescent="0.2">
      <c r="A28" s="16" t="s">
        <v>51</v>
      </c>
      <c r="B28" s="16"/>
      <c r="C28" s="16"/>
      <c r="D28" s="16"/>
      <c r="E28" s="16"/>
      <c r="F28" s="16"/>
      <c r="G28" s="15"/>
      <c r="H28" s="15"/>
    </row>
    <row r="29" spans="1:8" ht="15" customHeight="1" x14ac:dyDescent="0.2">
      <c r="A29" s="15" t="s">
        <v>52</v>
      </c>
      <c r="B29" s="20">
        <f>WACC!L45</f>
        <v>0.11593086162505005</v>
      </c>
      <c r="C29" s="15"/>
      <c r="D29" s="15"/>
      <c r="E29" s="15"/>
      <c r="F29" s="15"/>
      <c r="G29" s="15"/>
      <c r="H29" s="15"/>
    </row>
    <row r="30" spans="1:8" ht="15" customHeight="1" x14ac:dyDescent="0.2">
      <c r="A30" s="15" t="s">
        <v>53</v>
      </c>
      <c r="B30" s="21">
        <f>'DCF&gt;'!D48</f>
        <v>796.21700597998142</v>
      </c>
      <c r="C30" s="15"/>
      <c r="D30" s="15"/>
      <c r="E30" s="15"/>
      <c r="F30" s="15"/>
      <c r="G30" s="15"/>
      <c r="H30" s="15"/>
    </row>
    <row r="31" spans="1:8" ht="15" customHeight="1" x14ac:dyDescent="0.2">
      <c r="A31" s="15" t="s">
        <v>54</v>
      </c>
      <c r="B31" s="21">
        <f>'DCF&gt;'!D50</f>
        <v>1121</v>
      </c>
      <c r="C31" s="15"/>
      <c r="D31" s="15"/>
      <c r="E31" s="15"/>
      <c r="F31" s="15"/>
      <c r="G31" s="15"/>
      <c r="H31" s="15"/>
    </row>
    <row r="32" spans="1:8" ht="15" customHeight="1" x14ac:dyDescent="0.2">
      <c r="A32" s="15" t="s">
        <v>55</v>
      </c>
      <c r="B32" s="20">
        <f>'Operating Drivers'!B44</f>
        <v>0.03</v>
      </c>
      <c r="C32" s="15"/>
      <c r="D32" s="15"/>
      <c r="E32" s="15"/>
      <c r="F32" s="15"/>
      <c r="G32" s="15"/>
      <c r="H32" s="15"/>
    </row>
    <row r="33" spans="1:8" ht="15" customHeight="1" x14ac:dyDescent="0.2">
      <c r="A33" s="15" t="s">
        <v>56</v>
      </c>
      <c r="B33" s="20">
        <f>'Operating Drivers'!B45</f>
        <v>0.4</v>
      </c>
      <c r="C33" s="15"/>
      <c r="D33" s="15"/>
      <c r="E33" s="15"/>
      <c r="F33" s="15"/>
      <c r="G33" s="15"/>
      <c r="H33" s="15"/>
    </row>
    <row r="34" spans="1:8" ht="15" customHeight="1" x14ac:dyDescent="0.2">
      <c r="A34" s="15" t="s">
        <v>57</v>
      </c>
      <c r="B34" s="20">
        <f>'Operating Drivers'!B46</f>
        <v>7.4999999999999997E-2</v>
      </c>
      <c r="C34" s="15"/>
      <c r="D34" s="15"/>
      <c r="E34" s="15"/>
      <c r="F34" s="15"/>
      <c r="G34" s="15"/>
      <c r="H34" s="15"/>
    </row>
    <row r="35" spans="1:8" ht="15" customHeight="1" x14ac:dyDescent="0.2">
      <c r="A35" s="15" t="s">
        <v>58</v>
      </c>
      <c r="B35" s="287" t="str">
        <f>TEXT(Scenarios!K3,"₹#,##0")&amp;" to "&amp;TEXT(Scenarios!K5,"₹#,##0")</f>
        <v>₹715 to ₹910</v>
      </c>
      <c r="C35" s="15"/>
      <c r="D35" s="15"/>
      <c r="E35" s="15"/>
      <c r="F35" s="15"/>
      <c r="G35" s="15"/>
      <c r="H35" s="15"/>
    </row>
  </sheetData>
  <mergeCells count="2">
    <mergeCell ref="A1:H1"/>
    <mergeCell ref="A2:F2"/>
  </mergeCells>
  <pageMargins left="0.5" right="0.5" top="0.6" bottom="0.6"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8.6640625" defaultRowHeight="15" x14ac:dyDescent="0.2"/>
  <cols>
    <col min="1" max="1" width="42" customWidth="1"/>
    <col min="2" max="2" width="100" customWidth="1"/>
  </cols>
  <sheetData>
    <row r="1" spans="1:2" ht="33.75" customHeight="1" x14ac:dyDescent="0.2">
      <c r="A1" s="13" t="s">
        <v>59</v>
      </c>
      <c r="B1" s="13"/>
    </row>
    <row r="2" spans="1:2" ht="15" customHeight="1" x14ac:dyDescent="0.2">
      <c r="A2" s="14" t="s">
        <v>60</v>
      </c>
      <c r="B2" s="14" t="s">
        <v>61</v>
      </c>
    </row>
    <row r="3" spans="1:2" ht="15" customHeight="1" x14ac:dyDescent="0.2">
      <c r="A3" s="15" t="s">
        <v>62</v>
      </c>
      <c r="B3" s="22">
        <f>'DCF&gt;'!D48</f>
        <v>796.21700597998142</v>
      </c>
    </row>
    <row r="4" spans="1:2" ht="15" customHeight="1" x14ac:dyDescent="0.2">
      <c r="A4" s="15" t="s">
        <v>63</v>
      </c>
      <c r="B4" s="22">
        <f>'DCF Integration'!G21</f>
        <v>796.21700597998142</v>
      </c>
    </row>
    <row r="5" spans="1:2" ht="15" customHeight="1" x14ac:dyDescent="0.2">
      <c r="A5" s="15" t="s">
        <v>64</v>
      </c>
      <c r="B5" s="22">
        <f>AVERAGE(B3:B4)</f>
        <v>796.21700597998142</v>
      </c>
    </row>
    <row r="6" spans="1:2" ht="15" customHeight="1" x14ac:dyDescent="0.2">
      <c r="A6" s="15" t="s">
        <v>65</v>
      </c>
      <c r="B6" s="22">
        <f>'Comps Val'!O37</f>
        <v>1202.947831080332</v>
      </c>
    </row>
    <row r="7" spans="1:2" ht="15" customHeight="1" x14ac:dyDescent="0.2">
      <c r="A7" s="15" t="s">
        <v>66</v>
      </c>
      <c r="B7" s="22">
        <f>'Comps Val'!P37</f>
        <v>1398.6937923566845</v>
      </c>
    </row>
    <row r="8" spans="1:2" ht="15" customHeight="1" x14ac:dyDescent="0.2">
      <c r="A8" s="15" t="s">
        <v>67</v>
      </c>
      <c r="B8" s="22">
        <f>'Comps Val'!Q37</f>
        <v>1515.0277573195135</v>
      </c>
    </row>
    <row r="9" spans="1:2" ht="15" customHeight="1" x14ac:dyDescent="0.2">
      <c r="A9" s="15" t="s">
        <v>68</v>
      </c>
      <c r="B9" s="22">
        <f>B7</f>
        <v>1398.6937923566845</v>
      </c>
    </row>
    <row r="10" spans="1:2" ht="15" customHeight="1" x14ac:dyDescent="0.2">
      <c r="A10" s="15" t="s">
        <v>69</v>
      </c>
      <c r="B10" s="20">
        <v>0.6</v>
      </c>
    </row>
    <row r="11" spans="1:2" ht="15" customHeight="1" x14ac:dyDescent="0.2">
      <c r="A11" s="15" t="s">
        <v>70</v>
      </c>
      <c r="B11" s="20">
        <v>0.4</v>
      </c>
    </row>
    <row r="12" spans="1:2" ht="15" customHeight="1" x14ac:dyDescent="0.2">
      <c r="A12" s="15" t="s">
        <v>71</v>
      </c>
      <c r="B12" s="22">
        <f>B5*B10+B9*B11</f>
        <v>1037.2077205306628</v>
      </c>
    </row>
    <row r="13" spans="1:2" ht="15" customHeight="1" x14ac:dyDescent="0.2">
      <c r="A13" s="15" t="s">
        <v>72</v>
      </c>
      <c r="B13" s="22">
        <f>'DCF&gt;'!D50</f>
        <v>1121</v>
      </c>
    </row>
    <row r="14" spans="1:2" ht="15" customHeight="1" x14ac:dyDescent="0.2">
      <c r="A14" s="15" t="s">
        <v>73</v>
      </c>
      <c r="B14" s="20">
        <f>B12/B13-1</f>
        <v>-7.4747796136786171E-2</v>
      </c>
    </row>
    <row r="15" spans="1:2" ht="15" customHeight="1" x14ac:dyDescent="0.2">
      <c r="A15" s="15" t="s">
        <v>74</v>
      </c>
      <c r="B15" s="15" t="s">
        <v>75</v>
      </c>
    </row>
    <row r="16" spans="1:2" ht="15" customHeight="1" x14ac:dyDescent="0.2">
      <c r="A16" s="15" t="s">
        <v>76</v>
      </c>
      <c r="B16" s="15" t="s">
        <v>77</v>
      </c>
    </row>
    <row r="17" spans="1:2" ht="15" customHeight="1" x14ac:dyDescent="0.2">
      <c r="A17" s="15" t="s">
        <v>78</v>
      </c>
      <c r="B17" s="15" t="s">
        <v>79</v>
      </c>
    </row>
    <row r="18" spans="1:2" ht="27.75" customHeight="1" x14ac:dyDescent="0.2">
      <c r="A18" s="15" t="s">
        <v>80</v>
      </c>
      <c r="B18" s="15" t="s">
        <v>81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B23"/>
  <sheetViews>
    <sheetView zoomScaleNormal="100" workbookViewId="0">
      <pane xSplit="1" ySplit="2" topLeftCell="B3" activePane="bottomRight" state="frozen"/>
      <selection pane="topRight" activeCell="B1" sqref="B1"/>
      <selection pane="bottomLeft" activeCell="A3" sqref="A3"/>
      <selection pane="bottomRight" activeCell="B7" sqref="B7"/>
    </sheetView>
  </sheetViews>
  <sheetFormatPr baseColWidth="10" defaultColWidth="8.6640625" defaultRowHeight="15" x14ac:dyDescent="0.2"/>
  <cols>
    <col min="1" max="1" width="32" customWidth="1"/>
    <col min="2" max="2" width="75" customWidth="1"/>
    <col min="3" max="6" width="24" customWidth="1"/>
  </cols>
  <sheetData>
    <row r="1" spans="1:2" ht="33.75" customHeight="1" x14ac:dyDescent="0.2">
      <c r="A1" s="13" t="s">
        <v>82</v>
      </c>
      <c r="B1" s="13"/>
    </row>
    <row r="2" spans="1:2" ht="15" customHeight="1" x14ac:dyDescent="0.2">
      <c r="A2" s="14" t="s">
        <v>83</v>
      </c>
      <c r="B2" s="14" t="s">
        <v>84</v>
      </c>
    </row>
    <row r="3" spans="1:2" ht="27.75" customHeight="1" x14ac:dyDescent="0.2">
      <c r="A3" s="15" t="s">
        <v>85</v>
      </c>
      <c r="B3" s="15" t="s">
        <v>86</v>
      </c>
    </row>
    <row r="4" spans="1:2" ht="27.75" customHeight="1" x14ac:dyDescent="0.2">
      <c r="A4" s="15" t="s">
        <v>87</v>
      </c>
      <c r="B4" s="15" t="s">
        <v>88</v>
      </c>
    </row>
    <row r="5" spans="1:2" ht="15" customHeight="1" x14ac:dyDescent="0.2">
      <c r="A5" s="15" t="s">
        <v>89</v>
      </c>
      <c r="B5" s="15" t="s">
        <v>90</v>
      </c>
    </row>
    <row r="6" spans="1:2" ht="15" customHeight="1" x14ac:dyDescent="0.2">
      <c r="A6" s="15" t="s">
        <v>91</v>
      </c>
      <c r="B6" s="15" t="s">
        <v>92</v>
      </c>
    </row>
    <row r="7" spans="1:2" ht="15" customHeight="1" x14ac:dyDescent="0.2">
      <c r="A7" s="15" t="s">
        <v>93</v>
      </c>
      <c r="B7" s="15" t="s">
        <v>94</v>
      </c>
    </row>
    <row r="8" spans="1:2" ht="15" customHeight="1" x14ac:dyDescent="0.2">
      <c r="A8" s="15" t="s">
        <v>95</v>
      </c>
      <c r="B8" s="15" t="s">
        <v>96</v>
      </c>
    </row>
    <row r="9" spans="1:2" ht="15" customHeight="1" x14ac:dyDescent="0.2">
      <c r="A9" s="15" t="s">
        <v>97</v>
      </c>
      <c r="B9" s="15" t="s">
        <v>98</v>
      </c>
    </row>
    <row r="10" spans="1:2" ht="15" customHeight="1" x14ac:dyDescent="0.2">
      <c r="A10" s="15" t="s">
        <v>99</v>
      </c>
      <c r="B10" s="15" t="s">
        <v>100</v>
      </c>
    </row>
    <row r="11" spans="1:2" ht="15" customHeight="1" x14ac:dyDescent="0.2">
      <c r="A11" s="15" t="s">
        <v>101</v>
      </c>
      <c r="B11" s="15" t="s">
        <v>102</v>
      </c>
    </row>
    <row r="12" spans="1:2" ht="15" customHeight="1" x14ac:dyDescent="0.2">
      <c r="A12" s="15" t="s">
        <v>103</v>
      </c>
      <c r="B12" s="15" t="s">
        <v>104</v>
      </c>
    </row>
    <row r="13" spans="1:2" ht="27.75" customHeight="1" x14ac:dyDescent="0.2">
      <c r="A13" s="15" t="s">
        <v>105</v>
      </c>
      <c r="B13" s="15" t="s">
        <v>106</v>
      </c>
    </row>
    <row r="14" spans="1:2" ht="27.75" customHeight="1" x14ac:dyDescent="0.2">
      <c r="A14" s="15" t="s">
        <v>107</v>
      </c>
      <c r="B14" s="15" t="s">
        <v>108</v>
      </c>
    </row>
    <row r="15" spans="1:2" ht="15" customHeight="1" x14ac:dyDescent="0.2">
      <c r="A15" t="s">
        <v>62</v>
      </c>
      <c r="B15" s="23">
        <f>'DCF&gt;'!D48</f>
        <v>796.21700597998142</v>
      </c>
    </row>
    <row r="16" spans="1:2" ht="15" customHeight="1" x14ac:dyDescent="0.2">
      <c r="A16" t="s">
        <v>63</v>
      </c>
      <c r="B16">
        <f>'DCF Integration'!G21</f>
        <v>796.21700597998142</v>
      </c>
    </row>
    <row r="17" spans="1:2" ht="15" customHeight="1" x14ac:dyDescent="0.2">
      <c r="A17" t="s">
        <v>64</v>
      </c>
      <c r="B17" s="24">
        <f>'Valuation Summary'!B5</f>
        <v>796.21700597998142</v>
      </c>
    </row>
    <row r="18" spans="1:2" ht="15" customHeight="1" x14ac:dyDescent="0.2">
      <c r="A18" t="s">
        <v>109</v>
      </c>
      <c r="B18" s="24">
        <f>'Valuation Summary'!B9</f>
        <v>1398.6937923566845</v>
      </c>
    </row>
    <row r="19" spans="1:2" ht="15" customHeight="1" x14ac:dyDescent="0.2">
      <c r="A19" t="s">
        <v>71</v>
      </c>
      <c r="B19" s="24">
        <f>'Valuation Summary'!B12</f>
        <v>1037.2077205306628</v>
      </c>
    </row>
    <row r="20" spans="1:2" ht="15" customHeight="1" x14ac:dyDescent="0.2">
      <c r="A20" t="s">
        <v>72</v>
      </c>
      <c r="B20" s="24">
        <f>'Valuation Summary'!B13</f>
        <v>1121</v>
      </c>
    </row>
    <row r="21" spans="1:2" ht="15" customHeight="1" x14ac:dyDescent="0.2">
      <c r="A21" t="s">
        <v>73</v>
      </c>
      <c r="B21" s="25">
        <f>'Valuation Summary'!B14</f>
        <v>-7.4747796136786171E-2</v>
      </c>
    </row>
    <row r="22" spans="1:2" ht="15" customHeight="1" x14ac:dyDescent="0.2">
      <c r="A22" t="s">
        <v>110</v>
      </c>
      <c r="B22" t="s">
        <v>111</v>
      </c>
    </row>
    <row r="23" spans="1:2" ht="15" customHeight="1" x14ac:dyDescent="0.2">
      <c r="A23" t="s">
        <v>112</v>
      </c>
      <c r="B23" t="s">
        <v>113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F22"/>
  <sheetViews>
    <sheetView zoomScaleNormal="100" workbookViewId="0">
      <pane xSplit="1" ySplit="2" topLeftCell="B9" activePane="bottomRight" state="frozen"/>
      <selection pane="topRight" activeCell="B1" sqref="B1"/>
      <selection pane="bottomLeft" activeCell="A9" sqref="A9"/>
      <selection pane="bottomRight" activeCell="B14" sqref="B14"/>
    </sheetView>
  </sheetViews>
  <sheetFormatPr baseColWidth="10" defaultColWidth="8.6640625" defaultRowHeight="15" x14ac:dyDescent="0.2"/>
  <cols>
    <col min="1" max="1" width="38" customWidth="1"/>
    <col min="2" max="7" width="13" customWidth="1"/>
  </cols>
  <sheetData>
    <row r="1" spans="1:6" ht="17.25" customHeight="1" x14ac:dyDescent="0.2">
      <c r="A1" s="13" t="s">
        <v>114</v>
      </c>
      <c r="B1" s="13"/>
      <c r="C1" s="13"/>
      <c r="D1" s="13"/>
      <c r="E1" s="13"/>
      <c r="F1" s="13"/>
    </row>
    <row r="2" spans="1:6" ht="15" customHeight="1" x14ac:dyDescent="0.2">
      <c r="A2" s="14" t="s">
        <v>60</v>
      </c>
      <c r="B2" s="14" t="s">
        <v>115</v>
      </c>
      <c r="C2" s="14" t="s">
        <v>116</v>
      </c>
      <c r="D2" s="14" t="s">
        <v>117</v>
      </c>
      <c r="E2" s="14" t="s">
        <v>118</v>
      </c>
      <c r="F2" s="14" t="s">
        <v>5</v>
      </c>
    </row>
    <row r="3" spans="1:6" ht="297" customHeight="1" x14ac:dyDescent="0.2">
      <c r="A3" s="15" t="s">
        <v>52</v>
      </c>
      <c r="B3" s="26">
        <f>'DCF&gt;'!D31</f>
        <v>0.11593086162505005</v>
      </c>
      <c r="C3" s="26">
        <f>'DCF Integration'!G5</f>
        <v>0.11593086162505005</v>
      </c>
      <c r="D3" s="26">
        <f t="shared" ref="D3:D9" si="0">C3-B3</f>
        <v>0</v>
      </c>
      <c r="E3" s="15" t="s">
        <v>119</v>
      </c>
      <c r="F3" s="15" t="str">
        <f>IF(ABS(D3)&lt;0.0005,"CONSISTENT","REVIEW: WACC inputs diverge")</f>
        <v>CONSISTENT</v>
      </c>
    </row>
    <row r="4" spans="1:6" ht="297" customHeight="1" x14ac:dyDescent="0.2">
      <c r="A4" s="15" t="s">
        <v>55</v>
      </c>
      <c r="B4" s="20">
        <f>'DCF&gt;'!F25</f>
        <v>0.03</v>
      </c>
      <c r="C4" s="20">
        <f>'DCF Integration'!G8</f>
        <v>0.03</v>
      </c>
      <c r="D4" s="26">
        <f t="shared" si="0"/>
        <v>0</v>
      </c>
      <c r="E4" s="15" t="s">
        <v>119</v>
      </c>
      <c r="F4" s="15" t="str">
        <f>IF(ABS(D4)&lt;0.0005,"CONSISTENT","REVIEW: terminal growth inputs diverge")</f>
        <v>CONSISTENT</v>
      </c>
    </row>
    <row r="5" spans="1:6" ht="297" customHeight="1" x14ac:dyDescent="0.2">
      <c r="A5" s="15" t="s">
        <v>120</v>
      </c>
      <c r="B5" s="27">
        <f>'DCF&gt;'!D34</f>
        <v>339178.39040040463</v>
      </c>
      <c r="C5" s="15">
        <f>'DCF Integration'!G13</f>
        <v>339178.39040040469</v>
      </c>
      <c r="D5" s="15">
        <f t="shared" si="0"/>
        <v>0</v>
      </c>
      <c r="E5" s="15" t="s">
        <v>119</v>
      </c>
      <c r="F5" s="15" t="str">
        <f>IF(ABS(D5/B5)&lt;0.05,"CONSISTENT (within 5%)","REVIEW: methodology gap &gt;5% - see interpretation")</f>
        <v>CONSISTENT (within 5%)</v>
      </c>
    </row>
    <row r="6" spans="1:6" ht="297" customHeight="1" x14ac:dyDescent="0.2">
      <c r="A6" s="15" t="s">
        <v>121</v>
      </c>
      <c r="B6" s="27">
        <f>'DCF&gt;'!D41</f>
        <v>310087.82319673628</v>
      </c>
      <c r="C6" s="15">
        <f>'DCF Integration'!G15</f>
        <v>310087.82319673628</v>
      </c>
      <c r="D6" s="15">
        <f t="shared" si="0"/>
        <v>0</v>
      </c>
      <c r="E6" s="15" t="s">
        <v>119</v>
      </c>
      <c r="F6" s="15" t="str">
        <f>IF(ABS(D6/B6)&lt;0.05,"CONSISTENT (within 5%)","REVIEW: methodology gap &gt;5% - see interpretation")</f>
        <v>CONSISTENT (within 5%)</v>
      </c>
    </row>
    <row r="7" spans="1:6" ht="297" customHeight="1" x14ac:dyDescent="0.2">
      <c r="A7" s="15" t="s">
        <v>122</v>
      </c>
      <c r="B7" s="27">
        <f>'DCF&gt;'!D45</f>
        <v>323112.82319673628</v>
      </c>
      <c r="C7" s="15">
        <f>'DCF Integration'!G19</f>
        <v>323112.82319673628</v>
      </c>
      <c r="D7" s="15">
        <f t="shared" si="0"/>
        <v>0</v>
      </c>
      <c r="E7" s="15" t="s">
        <v>119</v>
      </c>
      <c r="F7" s="15" t="str">
        <f>IF(ABS(D7/B7)&lt;0.05,"CONSISTENT (within 5%)","REVIEW: methodology gap &gt;5% - see interpretation")</f>
        <v>CONSISTENT (within 5%)</v>
      </c>
    </row>
    <row r="8" spans="1:6" ht="297" customHeight="1" x14ac:dyDescent="0.2">
      <c r="A8" s="15" t="s">
        <v>123</v>
      </c>
      <c r="B8" s="27">
        <f>'DCF&gt;'!D48</f>
        <v>796.21700597998142</v>
      </c>
      <c r="C8" s="15">
        <f>'DCF Integration'!G21</f>
        <v>796.21700597998142</v>
      </c>
      <c r="D8" s="15">
        <f t="shared" si="0"/>
        <v>0</v>
      </c>
      <c r="E8" s="15" t="s">
        <v>119</v>
      </c>
      <c r="F8" s="15" t="str">
        <f>IF(ABS(D8/B8)&lt;0.05,"CONSISTENT (within 5%)","REVIEW: methodology gap &gt;5% - see interpretation")</f>
        <v>CONSISTENT (within 5%)</v>
      </c>
    </row>
    <row r="9" spans="1:6" ht="297" customHeight="1" x14ac:dyDescent="0.2">
      <c r="A9" s="15" t="s">
        <v>72</v>
      </c>
      <c r="B9" s="27">
        <f>'DCF&gt;'!D50</f>
        <v>1121</v>
      </c>
      <c r="C9" s="27">
        <f>'DCF Integration'!G23</f>
        <v>1121</v>
      </c>
      <c r="D9" s="15">
        <f t="shared" si="0"/>
        <v>0</v>
      </c>
      <c r="E9" s="15" t="s">
        <v>119</v>
      </c>
      <c r="F9" s="15" t="str">
        <f>IF(ABS(D9)&lt;0.01,"CONSISTENT","REVIEW: share price inputs diverge")</f>
        <v>CONSISTENT</v>
      </c>
    </row>
    <row r="10" spans="1:6" ht="15" customHeight="1" x14ac:dyDescent="0.2">
      <c r="A10" s="15"/>
      <c r="B10" s="15"/>
      <c r="C10" s="15"/>
      <c r="D10" s="15"/>
      <c r="E10" s="15"/>
      <c r="F10" s="15"/>
    </row>
    <row r="11" spans="1:6" ht="15" customHeight="1" x14ac:dyDescent="0.2">
      <c r="A11" s="15" t="s">
        <v>124</v>
      </c>
      <c r="B11" s="15"/>
      <c r="C11" s="15"/>
      <c r="D11" s="15"/>
      <c r="E11" s="15"/>
      <c r="F11" s="15"/>
    </row>
    <row r="12" spans="1:6" ht="15" customHeight="1" x14ac:dyDescent="0.2">
      <c r="A12" s="15" t="s">
        <v>60</v>
      </c>
      <c r="B12" s="15" t="s">
        <v>125</v>
      </c>
      <c r="C12" s="15" t="s">
        <v>126</v>
      </c>
      <c r="D12" s="15" t="s">
        <v>117</v>
      </c>
      <c r="E12" s="15" t="s">
        <v>127</v>
      </c>
      <c r="F12" s="15" t="s">
        <v>5</v>
      </c>
    </row>
    <row r="13" spans="1:6" ht="15" customHeight="1" x14ac:dyDescent="0.2">
      <c r="A13" s="28" t="s">
        <v>60</v>
      </c>
      <c r="B13" s="28" t="s">
        <v>128</v>
      </c>
      <c r="C13" s="28" t="s">
        <v>129</v>
      </c>
      <c r="D13" s="28" t="s">
        <v>130</v>
      </c>
      <c r="E13" s="28" t="s">
        <v>131</v>
      </c>
      <c r="F13" s="28" t="s">
        <v>132</v>
      </c>
    </row>
    <row r="14" spans="1:6" ht="15" customHeight="1" x14ac:dyDescent="0.2">
      <c r="A14" t="s">
        <v>133</v>
      </c>
      <c r="B14" s="29">
        <f>Forecasting!R5</f>
        <v>183041.21899999998</v>
      </c>
      <c r="C14" s="29">
        <f>Forecasting!S5</f>
        <v>187795.96442524996</v>
      </c>
      <c r="D14" s="29">
        <f>Forecasting!T5</f>
        <v>192927.49368067176</v>
      </c>
      <c r="E14" s="29">
        <f>Forecasting!U5</f>
        <v>198458.6318552969</v>
      </c>
      <c r="F14" s="29">
        <f>Forecasting!V5</f>
        <v>204412.39081095581</v>
      </c>
    </row>
    <row r="15" spans="1:6" ht="15" customHeight="1" x14ac:dyDescent="0.2">
      <c r="A15" t="s">
        <v>134</v>
      </c>
      <c r="B15" s="30">
        <f>'Segment Profitability'!C31</f>
        <v>183041.21899999998</v>
      </c>
      <c r="C15" s="30">
        <f>'Segment Profitability'!D31</f>
        <v>187795.96442524996</v>
      </c>
      <c r="D15" s="30">
        <f>'Segment Profitability'!E31</f>
        <v>192927.49368067176</v>
      </c>
      <c r="E15" s="30">
        <f>'Segment Profitability'!F31</f>
        <v>198458.6318552969</v>
      </c>
      <c r="F15" s="30">
        <f>'Segment Profitability'!G31</f>
        <v>204412.39081095581</v>
      </c>
    </row>
    <row r="16" spans="1:6" ht="15" customHeight="1" x14ac:dyDescent="0.2">
      <c r="A16" t="s">
        <v>135</v>
      </c>
      <c r="B16">
        <f>B15/B14-1</f>
        <v>0</v>
      </c>
      <c r="C16">
        <f>C15/C14-1</f>
        <v>0</v>
      </c>
      <c r="D16">
        <f>D15/D14-1</f>
        <v>0</v>
      </c>
      <c r="E16">
        <f>E15/E14-1</f>
        <v>0</v>
      </c>
      <c r="F16">
        <f>F15/F14-1</f>
        <v>0</v>
      </c>
    </row>
    <row r="18" spans="1:6" ht="15" customHeight="1" x14ac:dyDescent="0.2">
      <c r="A18" t="s">
        <v>136</v>
      </c>
      <c r="B18" s="29">
        <f>Forecasting!R7</f>
        <v>38384.840042121745</v>
      </c>
      <c r="C18" s="29">
        <f>Forecasting!S7</f>
        <v>39524.432538111389</v>
      </c>
      <c r="D18" s="29">
        <f>Forecasting!T7</f>
        <v>40801.562229314681</v>
      </c>
      <c r="E18" s="29">
        <f>Forecasting!U7</f>
        <v>42094.066161465264</v>
      </c>
      <c r="F18" s="29">
        <f>Forecasting!V7</f>
        <v>43391.959939338536</v>
      </c>
    </row>
    <row r="19" spans="1:6" ht="15" customHeight="1" x14ac:dyDescent="0.2">
      <c r="A19" t="s">
        <v>137</v>
      </c>
      <c r="B19" s="30">
        <f>'Segment Profitability'!C32</f>
        <v>43407.331256999998</v>
      </c>
      <c r="C19" s="30">
        <f>'Segment Profitability'!D32</f>
        <v>44677.38981553974</v>
      </c>
      <c r="D19" s="30">
        <f>'Segment Profitability'!E32</f>
        <v>46095.324188579463</v>
      </c>
      <c r="E19" s="30">
        <f>'Segment Profitability'!F32</f>
        <v>47539.597722364597</v>
      </c>
      <c r="F19" s="30">
        <f>'Segment Profitability'!G32</f>
        <v>49000.857447064845</v>
      </c>
    </row>
    <row r="20" spans="1:6" ht="15" customHeight="1" x14ac:dyDescent="0.2">
      <c r="A20" t="s">
        <v>138</v>
      </c>
      <c r="B20">
        <f>B19/B18-1</f>
        <v>0.13084569870206053</v>
      </c>
      <c r="C20">
        <f>C19/C18-1</f>
        <v>0.13037397241464799</v>
      </c>
      <c r="D20">
        <f>D19/D18-1</f>
        <v>0.12974409973599932</v>
      </c>
      <c r="E20">
        <f>E19/E18-1</f>
        <v>0.12936577663966342</v>
      </c>
      <c r="F20">
        <f>F19/F18-1</f>
        <v>0.12926121603097629</v>
      </c>
    </row>
    <row r="22" spans="1:6" ht="60" customHeight="1" x14ac:dyDescent="0.2">
      <c r="A22" s="11" t="s">
        <v>139</v>
      </c>
      <c r="B22" s="11"/>
      <c r="C22" s="11"/>
      <c r="D22" s="11"/>
      <c r="E22" s="11"/>
      <c r="F22" s="11"/>
    </row>
  </sheetData>
  <mergeCells count="1">
    <mergeCell ref="A22:F2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B18"/>
  <sheetViews>
    <sheetView zoomScaleNormal="100" workbookViewId="0"/>
  </sheetViews>
  <sheetFormatPr baseColWidth="10" defaultColWidth="8.6640625" defaultRowHeight="15" x14ac:dyDescent="0.2"/>
  <cols>
    <col min="1" max="1" width="26" customWidth="1"/>
    <col min="2" max="2" width="95" customWidth="1"/>
  </cols>
  <sheetData>
    <row r="1" spans="1:2" ht="33.75" customHeight="1" x14ac:dyDescent="0.2">
      <c r="A1" s="31" t="s">
        <v>140</v>
      </c>
    </row>
    <row r="3" spans="1:2" ht="15" customHeight="1" x14ac:dyDescent="0.2">
      <c r="A3" s="28" t="s">
        <v>141</v>
      </c>
      <c r="B3" s="15" t="s">
        <v>142</v>
      </c>
    </row>
    <row r="4" spans="1:2" ht="15" customHeight="1" x14ac:dyDescent="0.2">
      <c r="A4" s="28" t="s">
        <v>143</v>
      </c>
      <c r="B4" s="15" t="s">
        <v>144</v>
      </c>
    </row>
    <row r="5" spans="1:2" ht="15" customHeight="1" x14ac:dyDescent="0.2">
      <c r="A5" s="28" t="s">
        <v>145</v>
      </c>
      <c r="B5" s="15" t="s">
        <v>146</v>
      </c>
    </row>
    <row r="6" spans="1:2" ht="15" customHeight="1" x14ac:dyDescent="0.2">
      <c r="A6" s="28" t="s">
        <v>147</v>
      </c>
      <c r="B6" s="15" t="s">
        <v>148</v>
      </c>
    </row>
    <row r="7" spans="1:2" ht="15" customHeight="1" x14ac:dyDescent="0.2">
      <c r="A7" s="28" t="s">
        <v>56</v>
      </c>
      <c r="B7" s="15" t="s">
        <v>149</v>
      </c>
    </row>
    <row r="8" spans="1:2" ht="15" customHeight="1" x14ac:dyDescent="0.2">
      <c r="A8" s="28" t="s">
        <v>150</v>
      </c>
      <c r="B8" s="15" t="s">
        <v>151</v>
      </c>
    </row>
    <row r="9" spans="1:2" ht="15" customHeight="1" x14ac:dyDescent="0.2">
      <c r="A9" s="28" t="s">
        <v>152</v>
      </c>
      <c r="B9" s="15" t="s">
        <v>153</v>
      </c>
    </row>
    <row r="10" spans="1:2" ht="15" customHeight="1" x14ac:dyDescent="0.2">
      <c r="A10" s="28" t="s">
        <v>154</v>
      </c>
      <c r="B10" s="15" t="s">
        <v>155</v>
      </c>
    </row>
    <row r="11" spans="1:2" ht="15" customHeight="1" x14ac:dyDescent="0.2">
      <c r="A11" s="28" t="s">
        <v>156</v>
      </c>
      <c r="B11" s="15" t="s">
        <v>157</v>
      </c>
    </row>
    <row r="12" spans="1:2" ht="15" customHeight="1" x14ac:dyDescent="0.2">
      <c r="A12" s="28" t="s">
        <v>158</v>
      </c>
      <c r="B12" s="15" t="s">
        <v>159</v>
      </c>
    </row>
    <row r="13" spans="1:2" ht="15" customHeight="1" x14ac:dyDescent="0.2">
      <c r="A13" s="28" t="s">
        <v>160</v>
      </c>
      <c r="B13" s="15" t="s">
        <v>161</v>
      </c>
    </row>
    <row r="14" spans="1:2" ht="15" customHeight="1" x14ac:dyDescent="0.2">
      <c r="A14" s="28" t="s">
        <v>162</v>
      </c>
      <c r="B14" s="15" t="s">
        <v>163</v>
      </c>
    </row>
    <row r="15" spans="1:2" ht="15" customHeight="1" x14ac:dyDescent="0.2">
      <c r="A15" s="28" t="s">
        <v>164</v>
      </c>
      <c r="B15" s="15" t="s">
        <v>165</v>
      </c>
    </row>
    <row r="16" spans="1:2" ht="15" customHeight="1" x14ac:dyDescent="0.2">
      <c r="A16" s="28" t="s">
        <v>166</v>
      </c>
      <c r="B16" s="15" t="s">
        <v>167</v>
      </c>
    </row>
    <row r="17" spans="1:2" ht="15" customHeight="1" x14ac:dyDescent="0.2">
      <c r="A17" s="28" t="s">
        <v>166</v>
      </c>
      <c r="B17" s="15" t="s">
        <v>168</v>
      </c>
    </row>
    <row r="18" spans="1:2" ht="15" customHeight="1" x14ac:dyDescent="0.2">
      <c r="A18" s="28" t="s">
        <v>169</v>
      </c>
      <c r="B18" s="15" t="s">
        <v>170</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2:O122"/>
  <sheetViews>
    <sheetView showGridLines="0" zoomScale="90" zoomScaleNormal="90" workbookViewId="0">
      <pane xSplit="2" ySplit="2" topLeftCell="C59" activePane="bottomRight" state="frozen"/>
      <selection pane="topRight" activeCell="C1" sqref="C1"/>
      <selection pane="bottomLeft" activeCell="A59" sqref="A59"/>
      <selection pane="bottomRight" activeCell="N105" sqref="N105"/>
    </sheetView>
  </sheetViews>
  <sheetFormatPr baseColWidth="10" defaultColWidth="10.6640625" defaultRowHeight="15" outlineLevelRow="1" x14ac:dyDescent="0.2"/>
  <cols>
    <col min="1" max="1" width="2.33203125" customWidth="1"/>
    <col min="2" max="2" width="24" customWidth="1"/>
    <col min="3" max="3" width="15.33203125" customWidth="1"/>
    <col min="4" max="4" width="15.83203125" customWidth="1"/>
    <col min="5" max="5" width="14.5" customWidth="1"/>
    <col min="6" max="6" width="13.5" customWidth="1"/>
    <col min="7" max="8" width="14.1640625" customWidth="1"/>
    <col min="9" max="9" width="14" customWidth="1"/>
    <col min="10" max="10" width="14.6640625" customWidth="1"/>
    <col min="11" max="11" width="14.33203125" customWidth="1"/>
    <col min="12" max="12" width="15.6640625" customWidth="1"/>
    <col min="13" max="13" width="15.83203125" customWidth="1"/>
  </cols>
  <sheetData>
    <row r="2" spans="1:14" ht="15" customHeight="1" x14ac:dyDescent="0.2">
      <c r="B2" s="10" t="str">
        <f>"Historical Financial Statement - "&amp;'Data Sheet'!B1</f>
        <v>Historical Financial Statement - INFOSYS LTD</v>
      </c>
      <c r="C2" s="10"/>
      <c r="D2" s="10"/>
      <c r="E2" s="10"/>
      <c r="F2" s="10"/>
      <c r="G2" s="10"/>
      <c r="H2" s="10"/>
      <c r="I2" s="10"/>
      <c r="J2" s="10"/>
      <c r="K2" s="10"/>
      <c r="L2" s="10"/>
      <c r="M2" s="10"/>
    </row>
    <row r="3" spans="1:14" ht="15" customHeight="1" x14ac:dyDescent="0.2">
      <c r="B3" s="32" t="s">
        <v>171</v>
      </c>
      <c r="C3" s="33">
        <f>'Data Sheet'!B16</f>
        <v>42825</v>
      </c>
      <c r="D3" s="33">
        <f>'Data Sheet'!C16</f>
        <v>43190</v>
      </c>
      <c r="E3" s="33">
        <f>'Data Sheet'!D16</f>
        <v>43555</v>
      </c>
      <c r="F3" s="33">
        <f>'Data Sheet'!E16</f>
        <v>43921</v>
      </c>
      <c r="G3" s="33">
        <f>'Data Sheet'!F16</f>
        <v>44286</v>
      </c>
      <c r="H3" s="33">
        <f>'Data Sheet'!G16</f>
        <v>44651</v>
      </c>
      <c r="I3" s="33">
        <f>'Data Sheet'!H16</f>
        <v>45016</v>
      </c>
      <c r="J3" s="33">
        <f>'Data Sheet'!I16</f>
        <v>45382</v>
      </c>
      <c r="K3" s="33">
        <f>'Data Sheet'!J16</f>
        <v>45747</v>
      </c>
      <c r="L3" s="33">
        <f>'Data Sheet'!K16</f>
        <v>46112</v>
      </c>
      <c r="M3" s="34" t="s">
        <v>172</v>
      </c>
    </row>
    <row r="4" spans="1:14" ht="15" customHeight="1" x14ac:dyDescent="0.2">
      <c r="A4" s="35"/>
      <c r="B4" s="36"/>
      <c r="C4" s="37"/>
      <c r="D4" s="37"/>
      <c r="E4" s="37"/>
      <c r="F4" s="37"/>
      <c r="G4" s="37"/>
      <c r="H4" s="37"/>
      <c r="I4" s="37"/>
      <c r="J4" s="37"/>
      <c r="K4" s="37"/>
      <c r="L4" s="37"/>
      <c r="M4" s="38"/>
    </row>
    <row r="5" spans="1:14" ht="15" customHeight="1" x14ac:dyDescent="0.2">
      <c r="A5" t="s">
        <v>173</v>
      </c>
      <c r="B5" s="39" t="s">
        <v>174</v>
      </c>
      <c r="C5" s="40"/>
      <c r="D5" s="40"/>
      <c r="E5" s="40"/>
      <c r="F5" s="40"/>
      <c r="G5" s="40"/>
      <c r="H5" s="40"/>
      <c r="I5" s="40"/>
      <c r="J5" s="40"/>
      <c r="K5" s="40"/>
      <c r="L5" s="40"/>
      <c r="M5" s="40"/>
    </row>
    <row r="6" spans="1:14" ht="15" customHeight="1" x14ac:dyDescent="0.2">
      <c r="B6" t="s">
        <v>175</v>
      </c>
      <c r="C6" s="41">
        <f>IFERROR('Data Sheet'!B17,0)</f>
        <v>68484</v>
      </c>
      <c r="D6" s="41">
        <f>IFERROR('Data Sheet'!C17,0)</f>
        <v>70522</v>
      </c>
      <c r="E6" s="41">
        <f>IFERROR('Data Sheet'!D17,0)</f>
        <v>82675</v>
      </c>
      <c r="F6" s="41">
        <f>IFERROR('Data Sheet'!E17,0)</f>
        <v>90791</v>
      </c>
      <c r="G6" s="41">
        <f>IFERROR('Data Sheet'!F17,0)</f>
        <v>100472</v>
      </c>
      <c r="H6" s="41">
        <f>IFERROR('Data Sheet'!G17,0)</f>
        <v>121641</v>
      </c>
      <c r="I6" s="41">
        <f>IFERROR('Data Sheet'!H17,0)</f>
        <v>146767</v>
      </c>
      <c r="J6" s="41">
        <f>IFERROR('Data Sheet'!I17,0)</f>
        <v>153670</v>
      </c>
      <c r="K6" s="41">
        <f>IFERROR('Data Sheet'!J17,0)</f>
        <v>162990</v>
      </c>
      <c r="L6" s="41">
        <f>IFERROR('Data Sheet'!K17,0)</f>
        <v>178650</v>
      </c>
      <c r="M6" s="41">
        <f>IFERROR(SUM('Data Sheet'!H42:K42),0)</f>
        <v>184582</v>
      </c>
    </row>
    <row r="7" spans="1:14" ht="15" customHeight="1" x14ac:dyDescent="0.2">
      <c r="B7" s="42" t="s">
        <v>176</v>
      </c>
      <c r="C7" s="43" t="s">
        <v>177</v>
      </c>
      <c r="D7" s="44">
        <f t="shared" ref="D7:M7" si="0">D6/C6-1</f>
        <v>2.9758775772443125E-2</v>
      </c>
      <c r="E7" s="44">
        <f t="shared" si="0"/>
        <v>0.17232920223476356</v>
      </c>
      <c r="F7" s="44">
        <f t="shared" si="0"/>
        <v>9.8167523435137571E-2</v>
      </c>
      <c r="G7" s="44">
        <f t="shared" si="0"/>
        <v>0.10662951173574475</v>
      </c>
      <c r="H7" s="44">
        <f t="shared" si="0"/>
        <v>0.21069551715900947</v>
      </c>
      <c r="I7" s="44">
        <f t="shared" si="0"/>
        <v>0.20655864387829759</v>
      </c>
      <c r="J7" s="44">
        <f t="shared" si="0"/>
        <v>4.7033733741236095E-2</v>
      </c>
      <c r="K7" s="44">
        <f t="shared" si="0"/>
        <v>6.0649443612936782E-2</v>
      </c>
      <c r="L7" s="44">
        <f t="shared" si="0"/>
        <v>9.6079514080618544E-2</v>
      </c>
      <c r="M7" s="44">
        <f t="shared" si="0"/>
        <v>3.3204589980408539E-2</v>
      </c>
      <c r="N7" s="41"/>
    </row>
    <row r="9" spans="1:14" ht="15" customHeight="1" x14ac:dyDescent="0.2">
      <c r="B9" t="s">
        <v>178</v>
      </c>
      <c r="C9" s="41">
        <f>IFERROR(SUM('Data Sheet'!B18,'Data Sheet'!B20:B22)-1*'Data Sheet'!B19,0)</f>
        <v>44609</v>
      </c>
      <c r="D9" s="41">
        <f>IFERROR(SUM('Data Sheet'!C18,'Data Sheet'!C20:C22)-1*'Data Sheet'!C19,0)</f>
        <v>46395</v>
      </c>
      <c r="E9" s="41">
        <f>IFERROR(SUM('Data Sheet'!D18,'Data Sheet'!D20:D22)-1*'Data Sheet'!D19,0)</f>
        <v>55446</v>
      </c>
      <c r="F9" s="41">
        <f>IFERROR(SUM('Data Sheet'!E18,'Data Sheet'!E20:E22)-1*'Data Sheet'!E19,0)</f>
        <v>62210</v>
      </c>
      <c r="G9" s="41">
        <f>IFERROR(SUM('Data Sheet'!F18,'Data Sheet'!F20:F22)-1*'Data Sheet'!F19,0)</f>
        <v>68490</v>
      </c>
      <c r="H9" s="41">
        <f>IFERROR(SUM('Data Sheet'!G18,'Data Sheet'!G20:G22)-1*'Data Sheet'!G19,0)</f>
        <v>84819</v>
      </c>
      <c r="I9" s="41">
        <f>IFERROR(SUM('Data Sheet'!H18,'Data Sheet'!H20:H22)-1*'Data Sheet'!H19,0)</f>
        <v>104880</v>
      </c>
      <c r="J9" s="41">
        <f>IFERROR(SUM('Data Sheet'!I18,'Data Sheet'!I20:I22)-1*'Data Sheet'!I19,0)</f>
        <v>110030</v>
      </c>
      <c r="K9" s="41">
        <f>IFERROR(SUM('Data Sheet'!J18,'Data Sheet'!J20:J22)-1*'Data Sheet'!J19,0)</f>
        <v>116585</v>
      </c>
      <c r="L9" s="41">
        <f>IFERROR(SUM('Data Sheet'!K18,'Data Sheet'!K20:K22)-1*'Data Sheet'!K19,0)</f>
        <v>128257</v>
      </c>
      <c r="M9" s="41">
        <f>IFERROR(SUM('Data Sheet'!H43:K43),0)</f>
        <v>140837</v>
      </c>
    </row>
    <row r="10" spans="1:14" ht="15" customHeight="1" x14ac:dyDescent="0.2">
      <c r="B10" s="42" t="s">
        <v>179</v>
      </c>
      <c r="C10" s="44">
        <f t="shared" ref="C10:M10" si="1">C9/C6</f>
        <v>0.65137842415746738</v>
      </c>
      <c r="D10" s="44">
        <f t="shared" si="1"/>
        <v>0.65787981055557132</v>
      </c>
      <c r="E10" s="44">
        <f t="shared" si="1"/>
        <v>0.67065013607499246</v>
      </c>
      <c r="F10" s="44">
        <f t="shared" si="1"/>
        <v>0.68520007489729162</v>
      </c>
      <c r="G10" s="44">
        <f t="shared" si="1"/>
        <v>0.68168245879448996</v>
      </c>
      <c r="H10" s="44">
        <f t="shared" si="1"/>
        <v>0.69728956519594543</v>
      </c>
      <c r="I10" s="44">
        <f t="shared" si="1"/>
        <v>0.71460205632056251</v>
      </c>
      <c r="J10" s="44">
        <f t="shared" si="1"/>
        <v>0.71601483698835167</v>
      </c>
      <c r="K10" s="44">
        <f t="shared" si="1"/>
        <v>0.71528928155101545</v>
      </c>
      <c r="L10" s="44">
        <f t="shared" si="1"/>
        <v>0.71792331374195351</v>
      </c>
      <c r="M10" s="44">
        <f t="shared" si="1"/>
        <v>0.76300506008169811</v>
      </c>
    </row>
    <row r="12" spans="1:14" ht="15" customHeight="1" x14ac:dyDescent="0.2">
      <c r="B12" s="45" t="s">
        <v>180</v>
      </c>
      <c r="C12" s="46">
        <f t="shared" ref="C12:M12" si="2">C6-C9</f>
        <v>23875</v>
      </c>
      <c r="D12" s="46">
        <f t="shared" si="2"/>
        <v>24127</v>
      </c>
      <c r="E12" s="46">
        <f t="shared" si="2"/>
        <v>27229</v>
      </c>
      <c r="F12" s="46">
        <f t="shared" si="2"/>
        <v>28581</v>
      </c>
      <c r="G12" s="46">
        <f t="shared" si="2"/>
        <v>31982</v>
      </c>
      <c r="H12" s="46">
        <f t="shared" si="2"/>
        <v>36822</v>
      </c>
      <c r="I12" s="46">
        <f t="shared" si="2"/>
        <v>41887</v>
      </c>
      <c r="J12" s="46">
        <f t="shared" si="2"/>
        <v>43640</v>
      </c>
      <c r="K12" s="46">
        <f t="shared" si="2"/>
        <v>46405</v>
      </c>
      <c r="L12" s="46">
        <f t="shared" si="2"/>
        <v>50393</v>
      </c>
      <c r="M12" s="46">
        <f t="shared" si="2"/>
        <v>43745</v>
      </c>
    </row>
    <row r="13" spans="1:14" ht="15" customHeight="1" x14ac:dyDescent="0.2">
      <c r="B13" s="42" t="s">
        <v>181</v>
      </c>
      <c r="C13" s="44">
        <f t="shared" ref="C13:M13" si="3">C12/C6</f>
        <v>0.34862157584253256</v>
      </c>
      <c r="D13" s="44">
        <f t="shared" si="3"/>
        <v>0.34212018944442868</v>
      </c>
      <c r="E13" s="44">
        <f t="shared" si="3"/>
        <v>0.32934986392500754</v>
      </c>
      <c r="F13" s="44">
        <f t="shared" si="3"/>
        <v>0.31479992510270843</v>
      </c>
      <c r="G13" s="44">
        <f t="shared" si="3"/>
        <v>0.31831754120550998</v>
      </c>
      <c r="H13" s="44">
        <f t="shared" si="3"/>
        <v>0.30271043480405457</v>
      </c>
      <c r="I13" s="44">
        <f t="shared" si="3"/>
        <v>0.28539794367943749</v>
      </c>
      <c r="J13" s="44">
        <f t="shared" si="3"/>
        <v>0.28398516301164833</v>
      </c>
      <c r="K13" s="44">
        <f t="shared" si="3"/>
        <v>0.2847107184489846</v>
      </c>
      <c r="L13" s="44">
        <f t="shared" si="3"/>
        <v>0.28207668625804644</v>
      </c>
      <c r="M13" s="44">
        <f t="shared" si="3"/>
        <v>0.23699493991830189</v>
      </c>
    </row>
    <row r="15" spans="1:14" ht="15" customHeight="1" x14ac:dyDescent="0.2">
      <c r="B15" t="s">
        <v>182</v>
      </c>
      <c r="C15" s="47">
        <f>IFERROR(SUM('Data Sheet'!B23:B24),0)</f>
        <v>5271</v>
      </c>
      <c r="D15" s="47">
        <f>IFERROR(SUM('Data Sheet'!C23:C24),0)</f>
        <v>5305</v>
      </c>
      <c r="E15" s="47">
        <f>IFERROR(SUM('Data Sheet'!D23:D24),0)</f>
        <v>7059</v>
      </c>
      <c r="F15" s="47">
        <f>IFERROR(SUM('Data Sheet'!E23:E24),0)</f>
        <v>6314</v>
      </c>
      <c r="G15" s="47">
        <f>IFERROR(SUM('Data Sheet'!F23:F24),0)</f>
        <v>4093</v>
      </c>
      <c r="H15" s="47">
        <f>IFERROR(SUM('Data Sheet'!G23:G24),0)</f>
        <v>5331</v>
      </c>
      <c r="I15" s="47">
        <f>IFERROR(SUM('Data Sheet'!H23:H24),0)</f>
        <v>6757</v>
      </c>
      <c r="J15" s="47">
        <f>IFERROR(SUM('Data Sheet'!I23:I24),0)</f>
        <v>7215</v>
      </c>
      <c r="K15" s="47">
        <f>IFERROR(SUM('Data Sheet'!J23:J24),0)</f>
        <v>7169</v>
      </c>
      <c r="L15" s="47">
        <f>IFERROR(SUM('Data Sheet'!K23:K24),0)</f>
        <v>8113</v>
      </c>
      <c r="M15" s="47"/>
    </row>
    <row r="16" spans="1:14" ht="15" customHeight="1" x14ac:dyDescent="0.2">
      <c r="B16" s="42" t="s">
        <v>183</v>
      </c>
      <c r="C16" s="44">
        <f t="shared" ref="C16:L16" si="4">C15/C6</f>
        <v>7.6966882775538814E-2</v>
      </c>
      <c r="D16" s="44">
        <f t="shared" si="4"/>
        <v>7.5224752559484978E-2</v>
      </c>
      <c r="E16" s="44">
        <f t="shared" si="4"/>
        <v>8.5382521923193233E-2</v>
      </c>
      <c r="F16" s="44">
        <f t="shared" si="4"/>
        <v>6.9544338095185648E-2</v>
      </c>
      <c r="G16" s="44">
        <f t="shared" si="4"/>
        <v>4.0737717971176049E-2</v>
      </c>
      <c r="H16" s="44">
        <f t="shared" si="4"/>
        <v>4.3825683774385282E-2</v>
      </c>
      <c r="I16" s="44">
        <f t="shared" si="4"/>
        <v>4.6038959711651804E-2</v>
      </c>
      <c r="J16" s="44">
        <f t="shared" si="4"/>
        <v>4.6951259191774584E-2</v>
      </c>
      <c r="K16" s="44">
        <f t="shared" si="4"/>
        <v>4.3984293514939564E-2</v>
      </c>
      <c r="L16" s="44">
        <f t="shared" si="4"/>
        <v>4.5412818359921635E-2</v>
      </c>
    </row>
    <row r="18" spans="2:13" ht="15" customHeight="1" x14ac:dyDescent="0.2">
      <c r="B18" s="45" t="s">
        <v>184</v>
      </c>
      <c r="C18" s="46">
        <f t="shared" ref="C18:L18" si="5">C12-C15</f>
        <v>18604</v>
      </c>
      <c r="D18" s="46">
        <f t="shared" si="5"/>
        <v>18822</v>
      </c>
      <c r="E18" s="46">
        <f t="shared" si="5"/>
        <v>20170</v>
      </c>
      <c r="F18" s="46">
        <f t="shared" si="5"/>
        <v>22267</v>
      </c>
      <c r="G18" s="46">
        <f t="shared" si="5"/>
        <v>27889</v>
      </c>
      <c r="H18" s="46">
        <f t="shared" si="5"/>
        <v>31491</v>
      </c>
      <c r="I18" s="46">
        <f t="shared" si="5"/>
        <v>35130</v>
      </c>
      <c r="J18" s="46">
        <f t="shared" si="5"/>
        <v>36425</v>
      </c>
      <c r="K18" s="46">
        <f t="shared" si="5"/>
        <v>39236</v>
      </c>
      <c r="L18" s="46">
        <f t="shared" si="5"/>
        <v>42280</v>
      </c>
      <c r="M18" s="46">
        <f>IFERROR(SUM('Data Sheet'!H51:K51),0)</f>
        <v>46683</v>
      </c>
    </row>
    <row r="19" spans="2:13" ht="15" customHeight="1" x14ac:dyDescent="0.2">
      <c r="B19" s="42" t="s">
        <v>185</v>
      </c>
      <c r="C19" s="44">
        <f t="shared" ref="C19:M19" si="6">C18/C6</f>
        <v>0.27165469306699375</v>
      </c>
      <c r="D19" s="44">
        <f t="shared" si="6"/>
        <v>0.26689543688494372</v>
      </c>
      <c r="E19" s="44">
        <f t="shared" si="6"/>
        <v>0.24396734200181433</v>
      </c>
      <c r="F19" s="44">
        <f t="shared" si="6"/>
        <v>0.24525558700752279</v>
      </c>
      <c r="G19" s="44">
        <f t="shared" si="6"/>
        <v>0.27757982323433394</v>
      </c>
      <c r="H19" s="44">
        <f t="shared" si="6"/>
        <v>0.25888475102966929</v>
      </c>
      <c r="I19" s="44">
        <f t="shared" si="6"/>
        <v>0.23935898396778568</v>
      </c>
      <c r="J19" s="44">
        <f t="shared" si="6"/>
        <v>0.23703390381987374</v>
      </c>
      <c r="K19" s="44">
        <f t="shared" si="6"/>
        <v>0.24072642493404503</v>
      </c>
      <c r="L19" s="44">
        <f t="shared" si="6"/>
        <v>0.23666386789812482</v>
      </c>
      <c r="M19" s="44">
        <f t="shared" si="6"/>
        <v>0.25291198491727251</v>
      </c>
    </row>
    <row r="21" spans="2:13" ht="15" customHeight="1" x14ac:dyDescent="0.2">
      <c r="B21" t="s">
        <v>186</v>
      </c>
      <c r="C21" s="47">
        <f>IFERROR('Data Sheet'!B27,0)</f>
        <v>0</v>
      </c>
      <c r="D21" s="47">
        <f>IFERROR('Data Sheet'!C27,0)</f>
        <v>0</v>
      </c>
      <c r="E21" s="47">
        <f>IFERROR('Data Sheet'!D27,0)</f>
        <v>0</v>
      </c>
      <c r="F21" s="47">
        <f>IFERROR('Data Sheet'!E27,0)</f>
        <v>170</v>
      </c>
      <c r="G21" s="47">
        <f>IFERROR('Data Sheet'!F27,0)</f>
        <v>195</v>
      </c>
      <c r="H21" s="47">
        <f>IFERROR('Data Sheet'!G27,0)</f>
        <v>200</v>
      </c>
      <c r="I21" s="47">
        <f>IFERROR('Data Sheet'!H27,0)</f>
        <v>284</v>
      </c>
      <c r="J21" s="47">
        <f>IFERROR('Data Sheet'!I27,0)</f>
        <v>470</v>
      </c>
      <c r="K21" s="47">
        <f>IFERROR('Data Sheet'!J27,0)</f>
        <v>416</v>
      </c>
      <c r="L21" s="47">
        <f>IFERROR('Data Sheet'!K27,0)</f>
        <v>416</v>
      </c>
      <c r="M21" s="47">
        <f>IFERROR(SUM('Data Sheet'!H46:K46),0)</f>
        <v>430</v>
      </c>
    </row>
    <row r="22" spans="2:13" ht="15" customHeight="1" x14ac:dyDescent="0.2">
      <c r="B22" s="42" t="s">
        <v>187</v>
      </c>
      <c r="C22" s="44">
        <f t="shared" ref="C22:M22" si="7">C21/C6</f>
        <v>0</v>
      </c>
      <c r="D22" s="44">
        <f t="shared" si="7"/>
        <v>0</v>
      </c>
      <c r="E22" s="44">
        <f t="shared" si="7"/>
        <v>0</v>
      </c>
      <c r="F22" s="44">
        <f t="shared" si="7"/>
        <v>1.8724322895441179E-3</v>
      </c>
      <c r="G22" s="44">
        <f t="shared" si="7"/>
        <v>1.9408392387928975E-3</v>
      </c>
      <c r="H22" s="44">
        <f t="shared" si="7"/>
        <v>1.6441824713706726E-3</v>
      </c>
      <c r="I22" s="44">
        <f t="shared" si="7"/>
        <v>1.9350398931639945E-3</v>
      </c>
      <c r="J22" s="44">
        <f t="shared" si="7"/>
        <v>3.0585019847725646E-3</v>
      </c>
      <c r="K22" s="44">
        <f t="shared" si="7"/>
        <v>2.5523038223203877E-3</v>
      </c>
      <c r="L22" s="44">
        <f t="shared" si="7"/>
        <v>2.3285754268122026E-3</v>
      </c>
      <c r="M22" s="44">
        <f t="shared" si="7"/>
        <v>2.3295879338180322E-3</v>
      </c>
    </row>
    <row r="24" spans="2:13" ht="15" customHeight="1" x14ac:dyDescent="0.2">
      <c r="B24" t="s">
        <v>188</v>
      </c>
      <c r="C24" s="47">
        <f>IFERROR('Data Sheet'!B26,0)</f>
        <v>1703</v>
      </c>
      <c r="D24" s="47">
        <f>IFERROR('Data Sheet'!C26,0)</f>
        <v>1863</v>
      </c>
      <c r="E24" s="47">
        <f>IFERROR('Data Sheet'!D26,0)</f>
        <v>2011</v>
      </c>
      <c r="F24" s="47">
        <f>IFERROR('Data Sheet'!E26,0)</f>
        <v>2893</v>
      </c>
      <c r="G24" s="47">
        <f>IFERROR('Data Sheet'!F26,0)</f>
        <v>3267</v>
      </c>
      <c r="H24" s="47">
        <f>IFERROR('Data Sheet'!G26,0)</f>
        <v>3476</v>
      </c>
      <c r="I24" s="47">
        <f>IFERROR('Data Sheet'!H26,0)</f>
        <v>4225</v>
      </c>
      <c r="J24" s="47">
        <f>IFERROR('Data Sheet'!I26,0)</f>
        <v>4678</v>
      </c>
      <c r="K24" s="47">
        <f>IFERROR('Data Sheet'!J26,0)</f>
        <v>4812</v>
      </c>
      <c r="L24" s="47">
        <f>IFERROR('Data Sheet'!K26,0)</f>
        <v>4902</v>
      </c>
      <c r="M24" s="47">
        <f>IFERROR(SUM('Data Sheet'!H45:K45),0)</f>
        <v>5007</v>
      </c>
    </row>
    <row r="25" spans="2:13" ht="15" customHeight="1" x14ac:dyDescent="0.2">
      <c r="B25" s="42" t="s">
        <v>189</v>
      </c>
      <c r="C25" s="44">
        <f t="shared" ref="C25:M25" si="8">C24/C6</f>
        <v>2.4867122247532271E-2</v>
      </c>
      <c r="D25" s="44">
        <f t="shared" si="8"/>
        <v>2.6417288222115084E-2</v>
      </c>
      <c r="E25" s="44">
        <f t="shared" si="8"/>
        <v>2.4324160870879952E-2</v>
      </c>
      <c r="F25" s="44">
        <f t="shared" si="8"/>
        <v>3.1864391845006661E-2</v>
      </c>
      <c r="G25" s="44">
        <f t="shared" si="8"/>
        <v>3.2516522016084085E-2</v>
      </c>
      <c r="H25" s="44">
        <f t="shared" si="8"/>
        <v>2.8575891352422292E-2</v>
      </c>
      <c r="I25" s="44">
        <f t="shared" si="8"/>
        <v>2.8787125171189708E-2</v>
      </c>
      <c r="J25" s="44">
        <f t="shared" si="8"/>
        <v>3.0441855925034164E-2</v>
      </c>
      <c r="K25" s="44">
        <f t="shared" si="8"/>
        <v>2.9523283637032948E-2</v>
      </c>
      <c r="L25" s="44">
        <f t="shared" si="8"/>
        <v>2.7439126784214944E-2</v>
      </c>
      <c r="M25" s="44">
        <f t="shared" si="8"/>
        <v>2.7126155313085782E-2</v>
      </c>
    </row>
    <row r="27" spans="2:13" ht="15" customHeight="1" x14ac:dyDescent="0.2">
      <c r="B27" s="45" t="s">
        <v>190</v>
      </c>
      <c r="C27" s="46">
        <f t="shared" ref="C27:M27" si="9">IFERROR(C18-SUM(C24,C21),0)</f>
        <v>16901</v>
      </c>
      <c r="D27" s="46">
        <f t="shared" si="9"/>
        <v>16959</v>
      </c>
      <c r="E27" s="46">
        <f t="shared" si="9"/>
        <v>18159</v>
      </c>
      <c r="F27" s="46">
        <f t="shared" si="9"/>
        <v>19204</v>
      </c>
      <c r="G27" s="46">
        <f t="shared" si="9"/>
        <v>24427</v>
      </c>
      <c r="H27" s="46">
        <f t="shared" si="9"/>
        <v>27815</v>
      </c>
      <c r="I27" s="46">
        <f t="shared" si="9"/>
        <v>30621</v>
      </c>
      <c r="J27" s="46">
        <f t="shared" si="9"/>
        <v>31277</v>
      </c>
      <c r="K27" s="46">
        <f t="shared" si="9"/>
        <v>34008</v>
      </c>
      <c r="L27" s="46">
        <f t="shared" si="9"/>
        <v>36962</v>
      </c>
      <c r="M27" s="46">
        <f t="shared" si="9"/>
        <v>41246</v>
      </c>
    </row>
    <row r="28" spans="2:13" ht="15" customHeight="1" x14ac:dyDescent="0.2">
      <c r="B28" s="42" t="s">
        <v>191</v>
      </c>
      <c r="C28" s="44">
        <f t="shared" ref="C28:M28" si="10">C27/C6</f>
        <v>0.24678757081946148</v>
      </c>
      <c r="D28" s="44">
        <f t="shared" si="10"/>
        <v>0.24047814866282863</v>
      </c>
      <c r="E28" s="44">
        <f t="shared" si="10"/>
        <v>0.2196431811309344</v>
      </c>
      <c r="F28" s="44">
        <f t="shared" si="10"/>
        <v>0.211518762872972</v>
      </c>
      <c r="G28" s="44">
        <f t="shared" si="10"/>
        <v>0.24312246197945697</v>
      </c>
      <c r="H28" s="44">
        <f t="shared" si="10"/>
        <v>0.2286646772058763</v>
      </c>
      <c r="I28" s="44">
        <f t="shared" si="10"/>
        <v>0.20863681890343197</v>
      </c>
      <c r="J28" s="44">
        <f t="shared" si="10"/>
        <v>0.20353354591006703</v>
      </c>
      <c r="K28" s="44">
        <f t="shared" si="10"/>
        <v>0.20865083747469171</v>
      </c>
      <c r="L28" s="44">
        <f t="shared" si="10"/>
        <v>0.20689616568709768</v>
      </c>
      <c r="M28" s="44">
        <f t="shared" si="10"/>
        <v>0.22345624167036873</v>
      </c>
    </row>
    <row r="30" spans="2:13" ht="15" customHeight="1" x14ac:dyDescent="0.2">
      <c r="B30" t="s">
        <v>192</v>
      </c>
      <c r="C30" s="47">
        <f>IFERROR('Data Sheet'!B29,0)</f>
        <v>5598</v>
      </c>
      <c r="D30" s="47">
        <f>IFERROR('Data Sheet'!C29,0)</f>
        <v>4241</v>
      </c>
      <c r="E30" s="47">
        <f>IFERROR('Data Sheet'!D29,0)</f>
        <v>5631</v>
      </c>
      <c r="F30" s="47">
        <f>IFERROR('Data Sheet'!E29,0)</f>
        <v>5368</v>
      </c>
      <c r="G30" s="47">
        <f>IFERROR('Data Sheet'!F29,0)</f>
        <v>7205</v>
      </c>
      <c r="H30" s="47">
        <f>IFERROR('Data Sheet'!G29,0)</f>
        <v>7964</v>
      </c>
      <c r="I30" s="47">
        <f>IFERROR('Data Sheet'!H29,0)</f>
        <v>9214</v>
      </c>
      <c r="J30" s="47">
        <f>IFERROR('Data Sheet'!I29,0)</f>
        <v>9740</v>
      </c>
      <c r="K30" s="47">
        <f>IFERROR('Data Sheet'!J29,0)</f>
        <v>10858</v>
      </c>
      <c r="L30" s="47">
        <f>IFERROR('Data Sheet'!K29,0)</f>
        <v>10521</v>
      </c>
      <c r="M30" s="47">
        <f>IFERROR(SUM('Data Sheet'!H48:K48),0)</f>
        <v>10958</v>
      </c>
    </row>
    <row r="31" spans="2:13" ht="15" customHeight="1" x14ac:dyDescent="0.2">
      <c r="B31" s="42" t="s">
        <v>193</v>
      </c>
      <c r="C31" s="48">
        <f t="shared" ref="C31:M31" si="11">C30/C27</f>
        <v>0.33122300455594345</v>
      </c>
      <c r="D31" s="48">
        <f t="shared" si="11"/>
        <v>0.25007370717613064</v>
      </c>
      <c r="E31" s="48">
        <f t="shared" si="11"/>
        <v>0.31009416818106722</v>
      </c>
      <c r="F31" s="48">
        <f t="shared" si="11"/>
        <v>0.27952509893772132</v>
      </c>
      <c r="G31" s="48">
        <f t="shared" si="11"/>
        <v>0.29496049453473616</v>
      </c>
      <c r="H31" s="48">
        <f t="shared" si="11"/>
        <v>0.28632033075678592</v>
      </c>
      <c r="I31" s="48">
        <f t="shared" si="11"/>
        <v>0.30090460794879331</v>
      </c>
      <c r="J31" s="48">
        <f t="shared" si="11"/>
        <v>0.31141094094702176</v>
      </c>
      <c r="K31" s="48">
        <f t="shared" si="11"/>
        <v>0.31927781698423902</v>
      </c>
      <c r="L31" s="48">
        <f t="shared" si="11"/>
        <v>0.28464368811211516</v>
      </c>
      <c r="M31" s="48">
        <f t="shared" si="11"/>
        <v>0.26567424719972849</v>
      </c>
    </row>
    <row r="33" spans="1:13" ht="15" customHeight="1" x14ac:dyDescent="0.2">
      <c r="B33" s="45" t="s">
        <v>194</v>
      </c>
      <c r="C33" s="46">
        <f t="shared" ref="C33:M33" si="12">IFERROR(C27-C30,0)</f>
        <v>11303</v>
      </c>
      <c r="D33" s="46">
        <f t="shared" si="12"/>
        <v>12718</v>
      </c>
      <c r="E33" s="46">
        <f t="shared" si="12"/>
        <v>12528</v>
      </c>
      <c r="F33" s="46">
        <f t="shared" si="12"/>
        <v>13836</v>
      </c>
      <c r="G33" s="46">
        <f t="shared" si="12"/>
        <v>17222</v>
      </c>
      <c r="H33" s="46">
        <f t="shared" si="12"/>
        <v>19851</v>
      </c>
      <c r="I33" s="46">
        <f t="shared" si="12"/>
        <v>21407</v>
      </c>
      <c r="J33" s="46">
        <f t="shared" si="12"/>
        <v>21537</v>
      </c>
      <c r="K33" s="46">
        <f t="shared" si="12"/>
        <v>23150</v>
      </c>
      <c r="L33" s="46">
        <f t="shared" si="12"/>
        <v>26441</v>
      </c>
      <c r="M33" s="46">
        <f t="shared" si="12"/>
        <v>30288</v>
      </c>
    </row>
    <row r="34" spans="1:13" ht="15" customHeight="1" x14ac:dyDescent="0.2">
      <c r="B34" s="42" t="s">
        <v>195</v>
      </c>
      <c r="C34" s="48">
        <f t="shared" ref="C34:M34" si="13">C33/C6</f>
        <v>0.16504585012557677</v>
      </c>
      <c r="D34" s="48">
        <f t="shared" si="13"/>
        <v>0.18034088653186239</v>
      </c>
      <c r="E34" s="48">
        <f t="shared" si="13"/>
        <v>0.1515331115814938</v>
      </c>
      <c r="F34" s="48">
        <f t="shared" si="13"/>
        <v>0.15239395975372008</v>
      </c>
      <c r="G34" s="48">
        <f t="shared" si="13"/>
        <v>0.17141094036149376</v>
      </c>
      <c r="H34" s="48">
        <f t="shared" si="13"/>
        <v>0.16319333119589613</v>
      </c>
      <c r="I34" s="48">
        <f t="shared" si="13"/>
        <v>0.14585703870761138</v>
      </c>
      <c r="J34" s="48">
        <f t="shared" si="13"/>
        <v>0.14015097286392919</v>
      </c>
      <c r="K34" s="48">
        <f t="shared" si="13"/>
        <v>0.14203325357383889</v>
      </c>
      <c r="L34" s="48">
        <f t="shared" si="13"/>
        <v>0.14800447802966696</v>
      </c>
      <c r="M34" s="48">
        <f t="shared" si="13"/>
        <v>0.16408967288251292</v>
      </c>
    </row>
    <row r="36" spans="1:13" ht="15" customHeight="1" x14ac:dyDescent="0.2">
      <c r="B36" t="s">
        <v>196</v>
      </c>
      <c r="C36" s="49">
        <f>IFERROR('Data Sheet'!B93,0)</f>
        <v>459.39</v>
      </c>
      <c r="D36" s="47">
        <f>IFERROR('Data Sheet'!C93,0)</f>
        <v>436.82</v>
      </c>
      <c r="E36" s="47">
        <f>IFERROR('Data Sheet'!D93,0)</f>
        <v>436.89</v>
      </c>
      <c r="F36" s="47">
        <f>IFERROR('Data Sheet'!E93,0)</f>
        <v>425.9</v>
      </c>
      <c r="G36" s="47">
        <f>IFERROR('Data Sheet'!F93,0)</f>
        <v>426.07</v>
      </c>
      <c r="H36" s="47">
        <f>IFERROR('Data Sheet'!G93,0)</f>
        <v>420.67</v>
      </c>
      <c r="I36" s="47">
        <f>IFERROR('Data Sheet'!H93,0)</f>
        <v>414.86</v>
      </c>
      <c r="J36" s="47">
        <f>IFERROR('Data Sheet'!I93,0)</f>
        <v>415.09</v>
      </c>
      <c r="K36" s="47">
        <f>IFERROR('Data Sheet'!J93,0)</f>
        <v>415.33</v>
      </c>
      <c r="L36" s="47">
        <f>IFERROR('Data Sheet'!K93,0)</f>
        <v>405.56</v>
      </c>
      <c r="M36" s="47">
        <f>'Data Sheet'!B6</f>
        <v>405.81</v>
      </c>
    </row>
    <row r="37" spans="1:13" ht="15" customHeight="1" x14ac:dyDescent="0.2">
      <c r="C37" s="47"/>
      <c r="D37" s="47"/>
      <c r="E37" s="47"/>
      <c r="F37" s="47"/>
      <c r="G37" s="47"/>
      <c r="H37" s="47"/>
      <c r="I37" s="47"/>
      <c r="J37" s="47"/>
      <c r="K37" s="47"/>
      <c r="L37" s="47"/>
      <c r="M37" s="47"/>
    </row>
    <row r="38" spans="1:13" ht="15" customHeight="1" x14ac:dyDescent="0.2">
      <c r="B38" t="s">
        <v>197</v>
      </c>
      <c r="C38" s="47">
        <f t="shared" ref="C38:M38" si="14">IFERROR(C33/C36,0)</f>
        <v>24.604366660136268</v>
      </c>
      <c r="D38" s="47">
        <f t="shared" si="14"/>
        <v>29.114967263403692</v>
      </c>
      <c r="E38" s="47">
        <f t="shared" si="14"/>
        <v>28.6754102863421</v>
      </c>
      <c r="F38" s="47">
        <f t="shared" si="14"/>
        <v>32.486499178210849</v>
      </c>
      <c r="G38" s="47">
        <f t="shared" si="14"/>
        <v>40.420588166263762</v>
      </c>
      <c r="H38" s="47">
        <f t="shared" si="14"/>
        <v>47.189008011030019</v>
      </c>
      <c r="I38" s="47">
        <f t="shared" si="14"/>
        <v>51.600539941184977</v>
      </c>
      <c r="J38" s="47">
        <f t="shared" si="14"/>
        <v>51.885133344575877</v>
      </c>
      <c r="K38" s="47">
        <f t="shared" si="14"/>
        <v>55.738810102809815</v>
      </c>
      <c r="L38" s="47">
        <f t="shared" si="14"/>
        <v>65.196271821678664</v>
      </c>
      <c r="M38" s="47">
        <f t="shared" si="14"/>
        <v>74.635913358468244</v>
      </c>
    </row>
    <row r="39" spans="1:13" ht="15" customHeight="1" x14ac:dyDescent="0.2">
      <c r="B39" s="42" t="s">
        <v>198</v>
      </c>
      <c r="D39" s="48">
        <f>IFERROR((D38-C38)/ABS(C38),0)</f>
        <v>0.18332520668274102</v>
      </c>
      <c r="E39" s="48">
        <f t="shared" ref="E39:M39" si="15">IFERROR(E38/D38-1,0)</f>
        <v>-1.5097285636109792E-2</v>
      </c>
      <c r="F39" s="48">
        <f t="shared" si="15"/>
        <v>0.13290442416734827</v>
      </c>
      <c r="G39" s="48">
        <f t="shared" si="15"/>
        <v>0.24422726944288353</v>
      </c>
      <c r="H39" s="48">
        <f t="shared" si="15"/>
        <v>0.16744981089650213</v>
      </c>
      <c r="I39" s="48">
        <f t="shared" si="15"/>
        <v>9.3486430762091954E-2</v>
      </c>
      <c r="J39" s="48">
        <f t="shared" si="15"/>
        <v>5.5153183225462588E-3</v>
      </c>
      <c r="K39" s="48">
        <f t="shared" si="15"/>
        <v>7.4273236085588668E-2</v>
      </c>
      <c r="L39" s="48">
        <f t="shared" si="15"/>
        <v>0.1696746253001209</v>
      </c>
      <c r="M39" s="48">
        <f t="shared" si="15"/>
        <v>0.14478805724671462</v>
      </c>
    </row>
    <row r="40" spans="1:13" ht="15" customHeight="1" x14ac:dyDescent="0.2">
      <c r="B40" s="42"/>
    </row>
    <row r="41" spans="1:13" ht="15" customHeight="1" x14ac:dyDescent="0.2">
      <c r="B41" t="s">
        <v>199</v>
      </c>
      <c r="C41" s="47">
        <f>IFERROR('Data Sheet'!B31/HistoricalFS!C36,0)</f>
        <v>12.824832930625396</v>
      </c>
      <c r="D41" s="47">
        <f>IFERROR('Data Sheet'!C31/HistoricalFS!D36,0)</f>
        <v>21.669337484547412</v>
      </c>
      <c r="E41" s="47">
        <f>IFERROR('Data Sheet'!D31/HistoricalFS!E36,0)</f>
        <v>21.109432580283368</v>
      </c>
      <c r="F41" s="47">
        <f>IFERROR('Data Sheet'!E31/HistoricalFS!F36,0)</f>
        <v>17.438365813571263</v>
      </c>
      <c r="G41" s="47">
        <f>IFERROR('Data Sheet'!F31/HistoricalFS!G36,0)</f>
        <v>26.919520266622857</v>
      </c>
      <c r="H41" s="47">
        <f>IFERROR('Data Sheet'!G31/HistoricalFS!H36,0)</f>
        <v>30.921149594694178</v>
      </c>
      <c r="I41" s="47">
        <f>IFERROR('Data Sheet'!H31/HistoricalFS!I36,0)</f>
        <v>33.913127320059779</v>
      </c>
      <c r="J41" s="47">
        <f>IFERROR('Data Sheet'!I31/HistoricalFS!J36,0)</f>
        <v>45.901370787058234</v>
      </c>
      <c r="K41" s="47">
        <f>IFERROR('Data Sheet'!J31/HistoricalFS!K36,0)</f>
        <v>42.924421544314157</v>
      </c>
      <c r="L41" s="47">
        <f>IFERROR('Data Sheet'!K31/HistoricalFS!L36,0)</f>
        <v>47.910050300818625</v>
      </c>
      <c r="M41" s="47">
        <f>IFERROR('Data Sheet'!L31/HistoricalFS!M36,0)</f>
        <v>0</v>
      </c>
    </row>
    <row r="42" spans="1:13" ht="15" customHeight="1" x14ac:dyDescent="0.2">
      <c r="B42" s="42" t="s">
        <v>200</v>
      </c>
      <c r="C42" s="48">
        <f t="shared" ref="C42:M42" si="16">IFERROR(C41/C38,0)</f>
        <v>0.52124214810227376</v>
      </c>
      <c r="D42" s="48">
        <f t="shared" si="16"/>
        <v>0.74426796666142481</v>
      </c>
      <c r="E42" s="48">
        <f t="shared" si="16"/>
        <v>0.73615102171136659</v>
      </c>
      <c r="F42" s="48">
        <f t="shared" si="16"/>
        <v>0.53678808904307607</v>
      </c>
      <c r="G42" s="48">
        <f t="shared" si="16"/>
        <v>0.66598536755312976</v>
      </c>
      <c r="H42" s="48">
        <f t="shared" si="16"/>
        <v>0.6552616996624856</v>
      </c>
      <c r="I42" s="48">
        <f t="shared" si="16"/>
        <v>0.65722427243425052</v>
      </c>
      <c r="J42" s="48">
        <f t="shared" si="16"/>
        <v>0.8846728885174352</v>
      </c>
      <c r="K42" s="48">
        <f t="shared" si="16"/>
        <v>0.77009935205183577</v>
      </c>
      <c r="L42" s="48">
        <f t="shared" si="16"/>
        <v>0.73485874210506419</v>
      </c>
      <c r="M42" s="48">
        <f t="shared" si="16"/>
        <v>0</v>
      </c>
    </row>
    <row r="44" spans="1:13" ht="15" customHeight="1" x14ac:dyDescent="0.2">
      <c r="B44" s="42" t="s">
        <v>201</v>
      </c>
      <c r="C44" s="50">
        <f t="shared" ref="C44:M44" si="17">IFERROR(IF(C38&gt;C41,1-C42,0),0)</f>
        <v>0.47875785189772624</v>
      </c>
      <c r="D44" s="50">
        <f t="shared" si="17"/>
        <v>0.25573203333857519</v>
      </c>
      <c r="E44" s="50">
        <f t="shared" si="17"/>
        <v>0.26384897828863341</v>
      </c>
      <c r="F44" s="50">
        <f t="shared" si="17"/>
        <v>0.46321191095692393</v>
      </c>
      <c r="G44" s="50">
        <f t="shared" si="17"/>
        <v>0.33401463244687024</v>
      </c>
      <c r="H44" s="50">
        <f t="shared" si="17"/>
        <v>0.3447383003375144</v>
      </c>
      <c r="I44" s="50">
        <f t="shared" si="17"/>
        <v>0.34277572756574948</v>
      </c>
      <c r="J44" s="50">
        <f t="shared" si="17"/>
        <v>0.1153271114825648</v>
      </c>
      <c r="K44" s="50">
        <f t="shared" si="17"/>
        <v>0.22990064794816423</v>
      </c>
      <c r="L44" s="50">
        <f t="shared" si="17"/>
        <v>0.26514125789493581</v>
      </c>
      <c r="M44" s="50">
        <f t="shared" si="17"/>
        <v>1</v>
      </c>
    </row>
    <row r="46" spans="1:13" ht="15" customHeight="1" x14ac:dyDescent="0.2">
      <c r="A46" t="s">
        <v>173</v>
      </c>
      <c r="B46" s="39" t="s">
        <v>202</v>
      </c>
      <c r="C46" s="40"/>
      <c r="D46" s="40"/>
      <c r="E46" s="40"/>
      <c r="F46" s="40"/>
      <c r="G46" s="40"/>
      <c r="H46" s="39"/>
      <c r="I46" s="40"/>
      <c r="J46" s="40"/>
      <c r="K46" s="40"/>
      <c r="L46" s="40"/>
      <c r="M46" s="40"/>
    </row>
    <row r="47" spans="1:13" ht="15" customHeight="1" x14ac:dyDescent="0.2">
      <c r="B47" s="51" t="s">
        <v>203</v>
      </c>
      <c r="C47" s="47">
        <f>IFERROR('Data Sheet'!B57,0)</f>
        <v>1144</v>
      </c>
      <c r="D47" s="47">
        <f>IFERROR('Data Sheet'!C57,0)</f>
        <v>1088</v>
      </c>
      <c r="E47" s="47">
        <f>IFERROR('Data Sheet'!D57,0)</f>
        <v>2170</v>
      </c>
      <c r="F47" s="47">
        <f>IFERROR('Data Sheet'!E57,0)</f>
        <v>2122</v>
      </c>
      <c r="G47" s="47">
        <f>IFERROR('Data Sheet'!F57,0)</f>
        <v>2124</v>
      </c>
      <c r="H47" s="47">
        <f>IFERROR('Data Sheet'!G57,0)</f>
        <v>2098</v>
      </c>
      <c r="I47" s="47">
        <f>IFERROR('Data Sheet'!H57,0)</f>
        <v>2069</v>
      </c>
      <c r="J47" s="47">
        <f>IFERROR('Data Sheet'!I57,0)</f>
        <v>2071</v>
      </c>
      <c r="K47" s="47">
        <f>IFERROR('Data Sheet'!J57,0)</f>
        <v>2073</v>
      </c>
      <c r="L47" s="47">
        <f>IFERROR('Data Sheet'!K57,0)</f>
        <v>2024</v>
      </c>
    </row>
    <row r="48" spans="1:13" ht="15" customHeight="1" x14ac:dyDescent="0.2">
      <c r="B48" s="51" t="s">
        <v>204</v>
      </c>
      <c r="C48" s="47">
        <f>IFERROR('Data Sheet'!B58,0)</f>
        <v>67838</v>
      </c>
      <c r="D48" s="47">
        <f>IFERROR('Data Sheet'!C58,0)</f>
        <v>63835</v>
      </c>
      <c r="E48" s="47">
        <f>IFERROR('Data Sheet'!D58,0)</f>
        <v>62778</v>
      </c>
      <c r="F48" s="47">
        <f>IFERROR('Data Sheet'!E58,0)</f>
        <v>63328</v>
      </c>
      <c r="G48" s="47">
        <f>IFERROR('Data Sheet'!F58,0)</f>
        <v>74227</v>
      </c>
      <c r="H48" s="47">
        <f>IFERROR('Data Sheet'!G58,0)</f>
        <v>73252</v>
      </c>
      <c r="I48" s="47">
        <f>IFERROR('Data Sheet'!H58,0)</f>
        <v>73338</v>
      </c>
      <c r="J48" s="47">
        <f>IFERROR('Data Sheet'!I58,0)</f>
        <v>86045</v>
      </c>
      <c r="K48" s="47">
        <f>IFERROR('Data Sheet'!J58,0)</f>
        <v>93745</v>
      </c>
      <c r="L48" s="47">
        <f>IFERROR('Data Sheet'!K58,0)</f>
        <v>90828</v>
      </c>
    </row>
    <row r="49" spans="2:12" ht="15" customHeight="1" x14ac:dyDescent="0.2">
      <c r="B49" s="51" t="s">
        <v>205</v>
      </c>
      <c r="C49" s="47">
        <f>IFERROR('Data Sheet'!B59,0)</f>
        <v>0</v>
      </c>
      <c r="D49" s="47">
        <f>IFERROR('Data Sheet'!C59,0)</f>
        <v>0</v>
      </c>
      <c r="E49" s="47">
        <f>IFERROR('Data Sheet'!D59,0)</f>
        <v>0</v>
      </c>
      <c r="F49" s="47">
        <f>IFERROR('Data Sheet'!E59,0)</f>
        <v>4633</v>
      </c>
      <c r="G49" s="47">
        <f>IFERROR('Data Sheet'!F59,0)</f>
        <v>5325</v>
      </c>
      <c r="H49" s="47">
        <f>IFERROR('Data Sheet'!G59,0)</f>
        <v>5474</v>
      </c>
      <c r="I49" s="47">
        <f>IFERROR('Data Sheet'!H59,0)</f>
        <v>8299</v>
      </c>
      <c r="J49" s="47">
        <f>IFERROR('Data Sheet'!I59,0)</f>
        <v>8359</v>
      </c>
      <c r="K49" s="47">
        <f>IFERROR('Data Sheet'!J59,0)</f>
        <v>8227</v>
      </c>
      <c r="L49" s="47">
        <f>IFERROR('Data Sheet'!K59,0)</f>
        <v>9176</v>
      </c>
    </row>
    <row r="50" spans="2:12" ht="15" customHeight="1" x14ac:dyDescent="0.2">
      <c r="B50" s="51" t="s">
        <v>206</v>
      </c>
      <c r="C50" s="47">
        <f>IFERROR('Data Sheet'!B60,0)</f>
        <v>14166</v>
      </c>
      <c r="D50" s="47">
        <f>IFERROR('Data Sheet'!C60,0)</f>
        <v>14426</v>
      </c>
      <c r="E50" s="47">
        <f>IFERROR('Data Sheet'!D60,0)</f>
        <v>19118</v>
      </c>
      <c r="F50" s="47">
        <f>IFERROR('Data Sheet'!E60,0)</f>
        <v>21717</v>
      </c>
      <c r="G50" s="47">
        <f>IFERROR('Data Sheet'!F60,0)</f>
        <v>25835</v>
      </c>
      <c r="H50" s="47">
        <f>IFERROR('Data Sheet'!G60,0)</f>
        <v>35905</v>
      </c>
      <c r="I50" s="47">
        <f>IFERROR('Data Sheet'!H60,0)</f>
        <v>40890</v>
      </c>
      <c r="J50" s="47">
        <f>IFERROR('Data Sheet'!I60,0)</f>
        <v>39545</v>
      </c>
      <c r="K50" s="47">
        <f>IFERROR('Data Sheet'!J60,0)</f>
        <v>43750</v>
      </c>
      <c r="L50" s="47">
        <f>IFERROR('Data Sheet'!K60,0)</f>
        <v>52260</v>
      </c>
    </row>
    <row r="51" spans="2:12" ht="15" customHeight="1" x14ac:dyDescent="0.2">
      <c r="B51" s="52" t="s">
        <v>207</v>
      </c>
      <c r="C51" s="46">
        <f>IFERROR('Data Sheet'!B61,0)</f>
        <v>83148</v>
      </c>
      <c r="D51" s="46">
        <f>IFERROR('Data Sheet'!C61,0)</f>
        <v>79349</v>
      </c>
      <c r="E51" s="46">
        <f>IFERROR('Data Sheet'!D61,0)</f>
        <v>84066</v>
      </c>
      <c r="F51" s="46">
        <f>IFERROR('Data Sheet'!E61,0)</f>
        <v>91800</v>
      </c>
      <c r="G51" s="46">
        <f>IFERROR('Data Sheet'!F61,0)</f>
        <v>107511</v>
      </c>
      <c r="H51" s="46">
        <f>IFERROR('Data Sheet'!G61,0)</f>
        <v>116729</v>
      </c>
      <c r="I51" s="46">
        <f>IFERROR('Data Sheet'!H61,0)</f>
        <v>124596</v>
      </c>
      <c r="J51" s="46">
        <f>IFERROR('Data Sheet'!I61,0)</f>
        <v>136020</v>
      </c>
      <c r="K51" s="46">
        <f>IFERROR('Data Sheet'!J61,0)</f>
        <v>147795</v>
      </c>
      <c r="L51" s="46">
        <f>IFERROR('Data Sheet'!K61,0)</f>
        <v>154288</v>
      </c>
    </row>
    <row r="52" spans="2:12" ht="15" customHeight="1" x14ac:dyDescent="0.2">
      <c r="B52" s="53"/>
    </row>
    <row r="53" spans="2:12" ht="15" customHeight="1" x14ac:dyDescent="0.2">
      <c r="B53" s="51" t="s">
        <v>208</v>
      </c>
      <c r="C53" s="47">
        <f>IFERROR('Data Sheet'!B62,0)</f>
        <v>14179</v>
      </c>
      <c r="D53" s="47">
        <f>IFERROR('Data Sheet'!C62,0)</f>
        <v>12574</v>
      </c>
      <c r="E53" s="47">
        <f>IFERROR('Data Sheet'!D62,0)</f>
        <v>15710</v>
      </c>
      <c r="F53" s="47">
        <f>IFERROR('Data Sheet'!E62,0)</f>
        <v>23789</v>
      </c>
      <c r="G53" s="47">
        <f>IFERROR('Data Sheet'!F62,0)</f>
        <v>25505</v>
      </c>
      <c r="H53" s="47">
        <f>IFERROR('Data Sheet'!G62,0)</f>
        <v>25800</v>
      </c>
      <c r="I53" s="47">
        <f>IFERROR('Data Sheet'!H62,0)</f>
        <v>29225</v>
      </c>
      <c r="J53" s="47">
        <f>IFERROR('Data Sheet'!I62,0)</f>
        <v>27622</v>
      </c>
      <c r="K53" s="47">
        <f>IFERROR('Data Sheet'!J62,0)</f>
        <v>30961</v>
      </c>
      <c r="L53" s="47">
        <f>IFERROR('Data Sheet'!K62,0)</f>
        <v>33770</v>
      </c>
    </row>
    <row r="54" spans="2:12" ht="15" customHeight="1" x14ac:dyDescent="0.2">
      <c r="B54" s="51" t="s">
        <v>209</v>
      </c>
      <c r="C54" s="47">
        <f>IFERROR('Data Sheet'!B63,0)</f>
        <v>1365</v>
      </c>
      <c r="D54" s="47">
        <f>IFERROR('Data Sheet'!C63,0)</f>
        <v>1606</v>
      </c>
      <c r="E54" s="47">
        <f>IFERROR('Data Sheet'!D63,0)</f>
        <v>1388</v>
      </c>
      <c r="F54" s="47">
        <f>IFERROR('Data Sheet'!E63,0)</f>
        <v>954</v>
      </c>
      <c r="G54" s="47">
        <f>IFERROR('Data Sheet'!F63,0)</f>
        <v>922</v>
      </c>
      <c r="H54" s="47">
        <f>IFERROR('Data Sheet'!G63,0)</f>
        <v>416</v>
      </c>
      <c r="I54" s="47">
        <f>IFERROR('Data Sheet'!H63,0)</f>
        <v>288</v>
      </c>
      <c r="J54" s="47">
        <f>IFERROR('Data Sheet'!I63,0)</f>
        <v>293</v>
      </c>
      <c r="K54" s="47">
        <f>IFERROR('Data Sheet'!J63,0)</f>
        <v>814</v>
      </c>
      <c r="L54" s="47">
        <f>IFERROR('Data Sheet'!K63,0)</f>
        <v>526</v>
      </c>
    </row>
    <row r="55" spans="2:12" ht="15" customHeight="1" x14ac:dyDescent="0.2">
      <c r="B55" s="51" t="s">
        <v>210</v>
      </c>
      <c r="C55" s="47">
        <f>IFERROR('Data Sheet'!B64,0)</f>
        <v>16423</v>
      </c>
      <c r="D55" s="47">
        <f>IFERROR('Data Sheet'!C64,0)</f>
        <v>12163</v>
      </c>
      <c r="E55" s="47">
        <f>IFERROR('Data Sheet'!D64,0)</f>
        <v>11261</v>
      </c>
      <c r="F55" s="47">
        <f>IFERROR('Data Sheet'!E64,0)</f>
        <v>8792</v>
      </c>
      <c r="G55" s="47">
        <f>IFERROR('Data Sheet'!F64,0)</f>
        <v>14205</v>
      </c>
      <c r="H55" s="47">
        <f>IFERROR('Data Sheet'!G64,0)</f>
        <v>20324</v>
      </c>
      <c r="I55" s="47">
        <f>IFERROR('Data Sheet'!H64,0)</f>
        <v>19478</v>
      </c>
      <c r="J55" s="47">
        <f>IFERROR('Data Sheet'!I64,0)</f>
        <v>24623</v>
      </c>
      <c r="K55" s="47">
        <f>IFERROR('Data Sheet'!J64,0)</f>
        <v>23541</v>
      </c>
      <c r="L55" s="47">
        <f>IFERROR('Data Sheet'!K64,0)</f>
        <v>21880</v>
      </c>
    </row>
    <row r="56" spans="2:12" ht="15" customHeight="1" x14ac:dyDescent="0.2">
      <c r="B56" s="51" t="s">
        <v>211</v>
      </c>
      <c r="C56" s="47">
        <f>IFERROR('Data Sheet'!B65-SUM('Data Sheet'!B67:B69),0)</f>
        <v>16234</v>
      </c>
      <c r="D56" s="47">
        <f>IFERROR('Data Sheet'!C65-SUM('Data Sheet'!C67:C69),0)</f>
        <v>20046</v>
      </c>
      <c r="E56" s="47">
        <f>IFERROR('Data Sheet'!D65-SUM('Data Sheet'!D67:D69),0)</f>
        <v>21312</v>
      </c>
      <c r="F56" s="47">
        <f>IFERROR('Data Sheet'!E65-SUM('Data Sheet'!E67:E69),0)</f>
        <v>21129</v>
      </c>
      <c r="G56" s="47">
        <f>IFERROR('Data Sheet'!F65-SUM('Data Sheet'!F67:F69),0)</f>
        <v>22871</v>
      </c>
      <c r="H56" s="47">
        <f>IFERROR('Data Sheet'!G65-SUM('Data Sheet'!G67:G69),0)</f>
        <v>30019</v>
      </c>
      <c r="I56" s="47">
        <f>IFERROR('Data Sheet'!H65-SUM('Data Sheet'!H67:H69),0)</f>
        <v>38008</v>
      </c>
      <c r="J56" s="47">
        <f>IFERROR('Data Sheet'!I65-SUM('Data Sheet'!I67:I69),0)</f>
        <v>38503</v>
      </c>
      <c r="K56" s="47">
        <f>IFERROR('Data Sheet'!J65-SUM('Data Sheet'!J67:J69),0)</f>
        <v>36866</v>
      </c>
      <c r="L56" s="47">
        <f>IFERROR('Data Sheet'!K65-SUM('Data Sheet'!K67:K69),0)</f>
        <v>40677</v>
      </c>
    </row>
    <row r="57" spans="2:12" ht="15" customHeight="1" x14ac:dyDescent="0.2">
      <c r="B57" s="52" t="s">
        <v>212</v>
      </c>
      <c r="C57" s="46">
        <f t="shared" ref="C57:L57" si="18">SUM(C53:C56)</f>
        <v>48201</v>
      </c>
      <c r="D57" s="46">
        <f t="shared" si="18"/>
        <v>46389</v>
      </c>
      <c r="E57" s="46">
        <f t="shared" si="18"/>
        <v>49671</v>
      </c>
      <c r="F57" s="46">
        <f t="shared" si="18"/>
        <v>54664</v>
      </c>
      <c r="G57" s="46">
        <f t="shared" si="18"/>
        <v>63503</v>
      </c>
      <c r="H57" s="46">
        <f t="shared" si="18"/>
        <v>76559</v>
      </c>
      <c r="I57" s="46">
        <f t="shared" si="18"/>
        <v>86999</v>
      </c>
      <c r="J57" s="46">
        <f t="shared" si="18"/>
        <v>91041</v>
      </c>
      <c r="K57" s="46">
        <f t="shared" si="18"/>
        <v>92182</v>
      </c>
      <c r="L57" s="46">
        <f t="shared" si="18"/>
        <v>96853</v>
      </c>
    </row>
    <row r="58" spans="2:12" ht="15" customHeight="1" x14ac:dyDescent="0.2">
      <c r="B58" s="53"/>
    </row>
    <row r="59" spans="2:12" ht="15" customHeight="1" x14ac:dyDescent="0.2">
      <c r="B59" s="51" t="s">
        <v>213</v>
      </c>
      <c r="C59" s="47">
        <f>IFERROR('Data Sheet'!B67,0)</f>
        <v>12322</v>
      </c>
      <c r="D59" s="47">
        <f>IFERROR('Data Sheet'!C67,0)</f>
        <v>13142</v>
      </c>
      <c r="E59" s="47">
        <f>IFERROR('Data Sheet'!D67,0)</f>
        <v>14827</v>
      </c>
      <c r="F59" s="47">
        <f>IFERROR('Data Sheet'!E67,0)</f>
        <v>18487</v>
      </c>
      <c r="G59" s="47">
        <f>IFERROR('Data Sheet'!F67,0)</f>
        <v>19294</v>
      </c>
      <c r="H59" s="47">
        <f>IFERROR('Data Sheet'!G67,0)</f>
        <v>22698</v>
      </c>
      <c r="I59" s="47">
        <f>IFERROR('Data Sheet'!H67,0)</f>
        <v>25424</v>
      </c>
      <c r="J59" s="47">
        <f>IFERROR('Data Sheet'!I67,0)</f>
        <v>30193</v>
      </c>
      <c r="K59" s="47">
        <f>IFERROR('Data Sheet'!J67,0)</f>
        <v>31158</v>
      </c>
      <c r="L59" s="47">
        <f>IFERROR('Data Sheet'!K67,0)</f>
        <v>35234</v>
      </c>
    </row>
    <row r="60" spans="2:12" ht="15" customHeight="1" x14ac:dyDescent="0.2">
      <c r="B60" s="51" t="s">
        <v>214</v>
      </c>
      <c r="C60" s="47">
        <f>IFERROR('Data Sheet'!B68,0)</f>
        <v>0</v>
      </c>
      <c r="D60" s="47">
        <f>IFERROR('Data Sheet'!C68,0)</f>
        <v>0</v>
      </c>
      <c r="E60" s="47">
        <f>IFERROR('Data Sheet'!D68,0)</f>
        <v>0</v>
      </c>
      <c r="F60" s="47">
        <f>IFERROR('Data Sheet'!E68,0)</f>
        <v>0</v>
      </c>
      <c r="G60" s="47">
        <f>IFERROR('Data Sheet'!F68,0)</f>
        <v>0</v>
      </c>
      <c r="H60" s="47">
        <f>IFERROR('Data Sheet'!G68,0)</f>
        <v>0</v>
      </c>
      <c r="I60" s="47">
        <f>IFERROR('Data Sheet'!H68,0)</f>
        <v>0</v>
      </c>
      <c r="J60" s="47">
        <f>IFERROR('Data Sheet'!I68,0)</f>
        <v>0</v>
      </c>
      <c r="K60" s="47">
        <f>IFERROR('Data Sheet'!J68,0)</f>
        <v>0</v>
      </c>
      <c r="L60" s="47">
        <f>IFERROR('Data Sheet'!K68,0)</f>
        <v>0</v>
      </c>
    </row>
    <row r="61" spans="2:12" ht="15" customHeight="1" x14ac:dyDescent="0.2">
      <c r="B61" s="51" t="s">
        <v>215</v>
      </c>
      <c r="C61" s="47">
        <f>IFERROR('Data Sheet'!B69,0)</f>
        <v>22625</v>
      </c>
      <c r="D61" s="47">
        <f>IFERROR('Data Sheet'!C69,0)</f>
        <v>19818</v>
      </c>
      <c r="E61" s="47">
        <f>IFERROR('Data Sheet'!D69,0)</f>
        <v>19568</v>
      </c>
      <c r="F61" s="47">
        <f>IFERROR('Data Sheet'!E69,0)</f>
        <v>18649</v>
      </c>
      <c r="G61" s="47">
        <f>IFERROR('Data Sheet'!F69,0)</f>
        <v>24714</v>
      </c>
      <c r="H61" s="47">
        <f>IFERROR('Data Sheet'!G69,0)</f>
        <v>17472</v>
      </c>
      <c r="I61" s="47">
        <f>IFERROR('Data Sheet'!H69,0)</f>
        <v>12173</v>
      </c>
      <c r="J61" s="47">
        <f>IFERROR('Data Sheet'!I69,0)</f>
        <v>14786</v>
      </c>
      <c r="K61" s="47">
        <f>IFERROR('Data Sheet'!J69,0)</f>
        <v>24455</v>
      </c>
      <c r="L61" s="47">
        <f>IFERROR('Data Sheet'!K69,0)</f>
        <v>22201</v>
      </c>
    </row>
    <row r="62" spans="2:12" ht="15" customHeight="1" x14ac:dyDescent="0.2">
      <c r="B62" s="52" t="s">
        <v>216</v>
      </c>
      <c r="C62" s="46">
        <f t="shared" ref="C62:L62" si="19">IFERROR(SUM(C59:C61),0)</f>
        <v>34947</v>
      </c>
      <c r="D62" s="46">
        <f t="shared" si="19"/>
        <v>32960</v>
      </c>
      <c r="E62" s="46">
        <f t="shared" si="19"/>
        <v>34395</v>
      </c>
      <c r="F62" s="46">
        <f t="shared" si="19"/>
        <v>37136</v>
      </c>
      <c r="G62" s="46">
        <f t="shared" si="19"/>
        <v>44008</v>
      </c>
      <c r="H62" s="46">
        <f t="shared" si="19"/>
        <v>40170</v>
      </c>
      <c r="I62" s="46">
        <f t="shared" si="19"/>
        <v>37597</v>
      </c>
      <c r="J62" s="46">
        <f t="shared" si="19"/>
        <v>44979</v>
      </c>
      <c r="K62" s="46">
        <f t="shared" si="19"/>
        <v>55613</v>
      </c>
      <c r="L62" s="46">
        <f t="shared" si="19"/>
        <v>57435</v>
      </c>
    </row>
    <row r="64" spans="2:12" ht="15" customHeight="1" x14ac:dyDescent="0.2">
      <c r="B64" s="52" t="s">
        <v>217</v>
      </c>
      <c r="C64" s="46">
        <f t="shared" ref="C64:L64" si="20">IFERROR(C62+C57,0)</f>
        <v>83148</v>
      </c>
      <c r="D64" s="46">
        <f t="shared" si="20"/>
        <v>79349</v>
      </c>
      <c r="E64" s="46">
        <f t="shared" si="20"/>
        <v>84066</v>
      </c>
      <c r="F64" s="46">
        <f t="shared" si="20"/>
        <v>91800</v>
      </c>
      <c r="G64" s="46">
        <f t="shared" si="20"/>
        <v>107511</v>
      </c>
      <c r="H64" s="46">
        <f t="shared" si="20"/>
        <v>116729</v>
      </c>
      <c r="I64" s="46">
        <f t="shared" si="20"/>
        <v>124596</v>
      </c>
      <c r="J64" s="46">
        <f t="shared" si="20"/>
        <v>136020</v>
      </c>
      <c r="K64" s="46">
        <f t="shared" si="20"/>
        <v>147795</v>
      </c>
      <c r="L64" s="46">
        <f t="shared" si="20"/>
        <v>154288</v>
      </c>
    </row>
    <row r="66" spans="1:12" ht="15" customHeight="1" x14ac:dyDescent="0.2">
      <c r="B66" t="s">
        <v>3</v>
      </c>
      <c r="C66" t="b">
        <f t="shared" ref="C66:L66" si="21">C64=C51</f>
        <v>1</v>
      </c>
      <c r="D66" t="b">
        <f t="shared" si="21"/>
        <v>1</v>
      </c>
      <c r="E66" t="b">
        <f t="shared" si="21"/>
        <v>1</v>
      </c>
      <c r="F66" t="b">
        <f t="shared" si="21"/>
        <v>1</v>
      </c>
      <c r="G66" t="b">
        <f t="shared" si="21"/>
        <v>1</v>
      </c>
      <c r="H66" t="b">
        <f t="shared" si="21"/>
        <v>1</v>
      </c>
      <c r="I66" t="b">
        <f t="shared" si="21"/>
        <v>1</v>
      </c>
      <c r="J66" t="b">
        <f t="shared" si="21"/>
        <v>1</v>
      </c>
      <c r="K66" t="b">
        <f t="shared" si="21"/>
        <v>1</v>
      </c>
      <c r="L66" t="b">
        <f t="shared" si="21"/>
        <v>1</v>
      </c>
    </row>
    <row r="68" spans="1:12" ht="15" customHeight="1" x14ac:dyDescent="0.2">
      <c r="A68" t="s">
        <v>173</v>
      </c>
      <c r="B68" s="39" t="s">
        <v>218</v>
      </c>
      <c r="C68" s="40"/>
      <c r="D68" s="40"/>
      <c r="E68" s="40"/>
      <c r="F68" s="40"/>
      <c r="G68" s="40"/>
      <c r="H68" s="39"/>
      <c r="I68" s="40"/>
      <c r="J68" s="40"/>
      <c r="K68" s="40"/>
      <c r="L68" s="40"/>
    </row>
    <row r="69" spans="1:12" ht="15" hidden="1" customHeight="1" outlineLevel="1" x14ac:dyDescent="0.2">
      <c r="B69" s="54" t="s">
        <v>219</v>
      </c>
    </row>
    <row r="70" spans="1:12" ht="15" hidden="1" customHeight="1" outlineLevel="1" x14ac:dyDescent="0.2">
      <c r="B70" t="s">
        <v>220</v>
      </c>
      <c r="C70" s="47">
        <f>IFERROR('Cash Flow Data'!C4,0)</f>
        <v>19340</v>
      </c>
      <c r="D70" s="47">
        <f>IFERROR('Cash Flow Data'!D4,0)</f>
        <v>19963</v>
      </c>
      <c r="E70" s="47">
        <f>IFERROR('Cash Flow Data'!E4,0)</f>
        <v>22126</v>
      </c>
      <c r="F70" s="47">
        <f>IFERROR('Cash Flow Data'!F4,0)</f>
        <v>23920</v>
      </c>
      <c r="G70" s="47">
        <f>IFERROR('Cash Flow Data'!G4,0)</f>
        <v>28845</v>
      </c>
      <c r="H70" s="47">
        <f>IFERROR('Cash Flow Data'!H4,0)</f>
        <v>32921</v>
      </c>
      <c r="I70" s="47">
        <f>IFERROR('Cash Flow Data'!I4,0)</f>
        <v>37605</v>
      </c>
      <c r="J70" s="47">
        <f>IFERROR('Cash Flow Data'!J4,0)</f>
        <v>39523</v>
      </c>
      <c r="K70" s="47">
        <f>IFERROR('Cash Flow Data'!K4,0)</f>
        <v>41591</v>
      </c>
      <c r="L70" s="47">
        <f>IFERROR('Cash Flow Data'!L4,0)</f>
        <v>45273</v>
      </c>
    </row>
    <row r="71" spans="1:12" ht="15" hidden="1" customHeight="1" outlineLevel="1" x14ac:dyDescent="0.2">
      <c r="B71" t="s">
        <v>213</v>
      </c>
      <c r="C71" s="47">
        <f>IFERROR('Cash Flow Data'!C5,0)</f>
        <v>-1743</v>
      </c>
      <c r="D71" s="47">
        <f>IFERROR('Cash Flow Data'!D5,0)</f>
        <v>-1523</v>
      </c>
      <c r="E71" s="47">
        <f>IFERROR('Cash Flow Data'!E5,0)</f>
        <v>-2881</v>
      </c>
      <c r="F71" s="47">
        <f>IFERROR('Cash Flow Data'!F5,0)</f>
        <v>-3861</v>
      </c>
      <c r="G71" s="47">
        <f>IFERROR('Cash Flow Data'!G5,0)</f>
        <v>-1835</v>
      </c>
      <c r="H71" s="47">
        <f>IFERROR('Cash Flow Data'!H5,0)</f>
        <v>-7937</v>
      </c>
      <c r="I71" s="47">
        <f>IFERROR('Cash Flow Data'!I5,0)</f>
        <v>-7076</v>
      </c>
      <c r="J71" s="47">
        <f>IFERROR('Cash Flow Data'!J5,0)</f>
        <v>-2667</v>
      </c>
      <c r="K71" s="47">
        <f>IFERROR('Cash Flow Data'!K5,0)</f>
        <v>-1769</v>
      </c>
      <c r="L71" s="47">
        <f>IFERROR('Cash Flow Data'!L5,0)</f>
        <v>-5177</v>
      </c>
    </row>
    <row r="72" spans="1:12" ht="15" hidden="1" customHeight="1" outlineLevel="1" x14ac:dyDescent="0.2">
      <c r="B72" t="s">
        <v>214</v>
      </c>
      <c r="C72" s="47">
        <v>0</v>
      </c>
      <c r="D72" s="47">
        <v>0</v>
      </c>
      <c r="E72" s="47">
        <v>0</v>
      </c>
      <c r="F72" s="47">
        <v>0</v>
      </c>
      <c r="G72" s="47">
        <v>0</v>
      </c>
      <c r="H72" s="47">
        <v>0</v>
      </c>
      <c r="I72" s="47">
        <v>0</v>
      </c>
      <c r="J72" s="47">
        <v>0</v>
      </c>
      <c r="K72" s="47">
        <v>0</v>
      </c>
      <c r="L72" s="47">
        <v>0</v>
      </c>
    </row>
    <row r="73" spans="1:12" ht="15" hidden="1" customHeight="1" outlineLevel="1" x14ac:dyDescent="0.2">
      <c r="B73" t="s">
        <v>221</v>
      </c>
      <c r="C73" s="47">
        <f>IFERROR('Cash Flow Data'!C6,0)</f>
        <v>-19</v>
      </c>
      <c r="D73" s="47">
        <f>IFERROR('Cash Flow Data'!D6,0)</f>
        <v>328</v>
      </c>
      <c r="E73" s="47">
        <f>IFERROR('Cash Flow Data'!E6,0)</f>
        <v>916</v>
      </c>
      <c r="F73" s="47">
        <f>IFERROR('Cash Flow Data'!F6,0)</f>
        <v>-373</v>
      </c>
      <c r="G73" s="47">
        <f>IFERROR('Cash Flow Data'!G6,0)</f>
        <v>-245</v>
      </c>
      <c r="H73" s="47">
        <f>IFERROR('Cash Flow Data'!H6,0)</f>
        <v>1489</v>
      </c>
      <c r="I73" s="47">
        <f>IFERROR('Cash Flow Data'!I6,0)</f>
        <v>-279</v>
      </c>
      <c r="J73" s="47">
        <f>IFERROR('Cash Flow Data'!J6,0)</f>
        <v>91</v>
      </c>
      <c r="K73" s="47">
        <f>IFERROR('Cash Flow Data'!K6,0)</f>
        <v>176</v>
      </c>
      <c r="L73" s="47">
        <f>IFERROR('Cash Flow Data'!L6,0)</f>
        <v>-26</v>
      </c>
    </row>
    <row r="74" spans="1:12" ht="15" hidden="1" customHeight="1" outlineLevel="1" x14ac:dyDescent="0.2">
      <c r="B74" t="s">
        <v>222</v>
      </c>
      <c r="C74" s="47">
        <f>IFERROR('Cash Flow Data'!C8,0)</f>
        <v>-394</v>
      </c>
      <c r="D74" s="47">
        <f>IFERROR('Cash Flow Data'!D8,0)</f>
        <v>1279</v>
      </c>
      <c r="E74" s="47">
        <f>IFERROR('Cash Flow Data'!E8,0)</f>
        <v>1512</v>
      </c>
      <c r="F74" s="47">
        <f>IFERROR('Cash Flow Data'!F8,0)</f>
        <v>1867</v>
      </c>
      <c r="G74" s="47">
        <f>IFERROR('Cash Flow Data'!G8,0)</f>
        <v>3382</v>
      </c>
      <c r="H74" s="47">
        <f>IFERROR('Cash Flow Data'!H8,0)</f>
        <v>6938</v>
      </c>
      <c r="I74" s="47">
        <f>IFERROR('Cash Flow Data'!I8,0)</f>
        <v>4119</v>
      </c>
      <c r="J74" s="47">
        <f>IFERROR('Cash Flow Data'!J8,0)</f>
        <v>-1334</v>
      </c>
      <c r="K74" s="47">
        <f>IFERROR('Cash Flow Data'!K8,0)</f>
        <v>2322</v>
      </c>
      <c r="L74" s="47">
        <f>IFERROR('Cash Flow Data'!L8,0)</f>
        <v>5209</v>
      </c>
    </row>
    <row r="75" spans="1:12" ht="15" hidden="1" customHeight="1" outlineLevel="1" x14ac:dyDescent="0.2">
      <c r="B75" t="s">
        <v>223</v>
      </c>
      <c r="C75" s="47">
        <f>IFERROR('Cash Flow Data'!C9,0)</f>
        <v>-2156</v>
      </c>
      <c r="D75" s="47">
        <f>IFERROR('Cash Flow Data'!D9,0)</f>
        <v>84</v>
      </c>
      <c r="E75" s="47">
        <f>IFERROR('Cash Flow Data'!E9,0)</f>
        <v>-453</v>
      </c>
      <c r="F75" s="47">
        <f>IFERROR('Cash Flow Data'!F9,0)</f>
        <v>-2367</v>
      </c>
      <c r="G75" s="47">
        <f>IFERROR('Cash Flow Data'!G9,0)</f>
        <v>768</v>
      </c>
      <c r="H75" s="47">
        <f>IFERROR('Cash Flow Data'!H9,0)</f>
        <v>-1424</v>
      </c>
      <c r="I75" s="47">
        <f>IFERROR('Cash Flow Data'!I9,0)</f>
        <v>-6344</v>
      </c>
      <c r="J75" s="47">
        <f>IFERROR('Cash Flow Data'!J9,0)</f>
        <v>-5082</v>
      </c>
      <c r="K75" s="47">
        <f>IFERROR('Cash Flow Data'!K9,0)</f>
        <v>-295</v>
      </c>
      <c r="L75" s="47">
        <f>IFERROR('Cash Flow Data'!L9,0)</f>
        <v>-2639</v>
      </c>
    </row>
    <row r="76" spans="1:12" ht="15" hidden="1" customHeight="1" outlineLevel="1" x14ac:dyDescent="0.2">
      <c r="B76" t="s">
        <v>224</v>
      </c>
      <c r="C76" s="47">
        <f>IFERROR('Cash Flow Data'!C10,0)</f>
        <v>-5653</v>
      </c>
      <c r="D76" s="47">
        <f>IFERROR('Cash Flow Data'!D10,0)</f>
        <v>-6829</v>
      </c>
      <c r="E76" s="47">
        <f>IFERROR('Cash Flow Data'!E10,0)</f>
        <v>-6832</v>
      </c>
      <c r="F76" s="47">
        <f>IFERROR('Cash Flow Data'!F10,0)</f>
        <v>-4550</v>
      </c>
      <c r="G76" s="47">
        <f>IFERROR('Cash Flow Data'!G10,0)</f>
        <v>-6389</v>
      </c>
      <c r="H76" s="47">
        <f>IFERROR('Cash Flow Data'!H10,0)</f>
        <v>-7612</v>
      </c>
      <c r="I76" s="47">
        <f>IFERROR('Cash Flow Data'!I10,0)</f>
        <v>-8794</v>
      </c>
      <c r="J76" s="47">
        <f>IFERROR('Cash Flow Data'!J10,0)</f>
        <v>-9231</v>
      </c>
      <c r="K76" s="47">
        <f>IFERROR('Cash Flow Data'!K10,0)</f>
        <v>-5602</v>
      </c>
      <c r="L76" s="47">
        <f>IFERROR('Cash Flow Data'!L10,0)</f>
        <v>-8648</v>
      </c>
    </row>
    <row r="77" spans="1:12" ht="15" hidden="1" customHeight="1" outlineLevel="1" x14ac:dyDescent="0.2">
      <c r="B77" s="54" t="s">
        <v>225</v>
      </c>
      <c r="C77" s="55">
        <f t="shared" ref="C77:L77" si="22">SUM(C70:C76)</f>
        <v>9375</v>
      </c>
      <c r="D77" s="55">
        <f t="shared" si="22"/>
        <v>13302</v>
      </c>
      <c r="E77" s="55">
        <f t="shared" si="22"/>
        <v>14388</v>
      </c>
      <c r="F77" s="55">
        <f t="shared" si="22"/>
        <v>14636</v>
      </c>
      <c r="G77" s="55">
        <f t="shared" si="22"/>
        <v>24526</v>
      </c>
      <c r="H77" s="55">
        <f t="shared" si="22"/>
        <v>24375</v>
      </c>
      <c r="I77" s="55">
        <f t="shared" si="22"/>
        <v>19231</v>
      </c>
      <c r="J77" s="55">
        <f t="shared" si="22"/>
        <v>21300</v>
      </c>
      <c r="K77" s="55">
        <f t="shared" si="22"/>
        <v>36423</v>
      </c>
      <c r="L77" s="55">
        <f t="shared" si="22"/>
        <v>33992</v>
      </c>
    </row>
    <row r="78" spans="1:12" ht="15" hidden="1" customHeight="1" outlineLevel="1" x14ac:dyDescent="0.2"/>
    <row r="79" spans="1:12" ht="15" hidden="1" customHeight="1" outlineLevel="1" x14ac:dyDescent="0.2">
      <c r="B79" s="54" t="s">
        <v>226</v>
      </c>
    </row>
    <row r="80" spans="1:12" ht="15" hidden="1" customHeight="1" outlineLevel="1" x14ac:dyDescent="0.2">
      <c r="B80" t="s">
        <v>227</v>
      </c>
      <c r="C80" s="47">
        <f>IFERROR('Cash Flow Data'!C12,0)</f>
        <v>-2760</v>
      </c>
      <c r="D80" s="47">
        <f>IFERROR('Cash Flow Data'!D12,0)</f>
        <v>-1998</v>
      </c>
      <c r="E80" s="47">
        <f>IFERROR('Cash Flow Data'!E12,0)</f>
        <v>-2445</v>
      </c>
      <c r="F80" s="47">
        <f>IFERROR('Cash Flow Data'!F12,0)</f>
        <v>-3307</v>
      </c>
      <c r="G80" s="47">
        <f>IFERROR('Cash Flow Data'!G12,0)</f>
        <v>-2107</v>
      </c>
      <c r="H80" s="47">
        <f>IFERROR('Cash Flow Data'!H12,0)</f>
        <v>-2161</v>
      </c>
      <c r="I80" s="47">
        <f>IFERROR('Cash Flow Data'!I12,0)</f>
        <v>-2579</v>
      </c>
      <c r="J80" s="47">
        <f>IFERROR('Cash Flow Data'!J12,0)</f>
        <v>-2201</v>
      </c>
      <c r="K80" s="47">
        <f>IFERROR('Cash Flow Data'!K12,0)</f>
        <v>-2237</v>
      </c>
      <c r="L80" s="47">
        <f>IFERROR('Cash Flow Data'!L12,0)</f>
        <v>-2727</v>
      </c>
    </row>
    <row r="81" spans="2:12" ht="15" hidden="1" customHeight="1" outlineLevel="1" x14ac:dyDescent="0.2">
      <c r="B81" t="s">
        <v>228</v>
      </c>
      <c r="C81" s="47">
        <v>0</v>
      </c>
      <c r="D81" s="47">
        <v>0</v>
      </c>
      <c r="E81" s="47">
        <v>0</v>
      </c>
      <c r="F81" s="47">
        <v>0</v>
      </c>
      <c r="G81" s="47">
        <v>0</v>
      </c>
      <c r="H81" s="47">
        <v>0</v>
      </c>
      <c r="I81" s="47">
        <v>0</v>
      </c>
      <c r="J81" s="47">
        <v>0</v>
      </c>
      <c r="K81" s="47">
        <v>0</v>
      </c>
      <c r="L81" s="47">
        <v>0</v>
      </c>
    </row>
    <row r="82" spans="2:12" ht="15" hidden="1" customHeight="1" outlineLevel="1" x14ac:dyDescent="0.2">
      <c r="B82" t="s">
        <v>229</v>
      </c>
      <c r="C82" s="47">
        <f>IFERROR('Cash Flow Data'!C13,0)</f>
        <v>-66410</v>
      </c>
      <c r="D82" s="47">
        <f>IFERROR('Cash Flow Data'!D13,0)</f>
        <v>-69159</v>
      </c>
      <c r="E82" s="47">
        <f>IFERROR('Cash Flow Data'!E13,0)</f>
        <v>-79410</v>
      </c>
      <c r="F82" s="47">
        <f>IFERROR('Cash Flow Data'!F13,0)</f>
        <v>-37482</v>
      </c>
      <c r="G82" s="47">
        <f>IFERROR('Cash Flow Data'!G13,0)</f>
        <v>-46738</v>
      </c>
      <c r="H82" s="47">
        <f>IFERROR('Cash Flow Data'!H13,0)</f>
        <v>-59951</v>
      </c>
      <c r="I82" s="47">
        <f>IFERROR('Cash Flow Data'!I13,0)</f>
        <v>-75800</v>
      </c>
      <c r="J82" s="47">
        <f>IFERROR('Cash Flow Data'!J13,0)</f>
        <v>-78092</v>
      </c>
      <c r="K82" s="47">
        <f>IFERROR('Cash Flow Data'!K13,0)</f>
        <v>-82742</v>
      </c>
      <c r="L82" s="47">
        <f>IFERROR('Cash Flow Data'!L13,0)</f>
        <v>-82617</v>
      </c>
    </row>
    <row r="83" spans="2:12" ht="15" hidden="1" customHeight="1" outlineLevel="1" x14ac:dyDescent="0.2">
      <c r="B83" t="s">
        <v>230</v>
      </c>
      <c r="C83" s="47">
        <f>IFERROR('Cash Flow Data'!C14,0)</f>
        <v>52048</v>
      </c>
      <c r="D83" s="47">
        <f>IFERROR('Cash Flow Data'!D14,0)</f>
        <v>74003</v>
      </c>
      <c r="E83" s="47">
        <f>IFERROR('Cash Flow Data'!E14,0)</f>
        <v>78098</v>
      </c>
      <c r="F83" s="47">
        <f>IFERROR('Cash Flow Data'!F14,0)</f>
        <v>38861</v>
      </c>
      <c r="G83" s="47">
        <f>IFERROR('Cash Flow Data'!G14,0)</f>
        <v>40381</v>
      </c>
      <c r="H83" s="47">
        <f>IFERROR('Cash Flow Data'!H14,0)</f>
        <v>57356</v>
      </c>
      <c r="I83" s="47">
        <f>IFERROR('Cash Flow Data'!I14,0)</f>
        <v>76722</v>
      </c>
      <c r="J83" s="47">
        <f>IFERROR('Cash Flow Data'!J14,0)</f>
        <v>72930</v>
      </c>
      <c r="K83" s="47">
        <f>IFERROR('Cash Flow Data'!K14,0)</f>
        <v>84877</v>
      </c>
      <c r="L83" s="47">
        <f>IFERROR('Cash Flow Data'!L14,0)</f>
        <v>89699</v>
      </c>
    </row>
    <row r="84" spans="2:12" ht="15" hidden="1" customHeight="1" outlineLevel="1" x14ac:dyDescent="0.2">
      <c r="B84" t="s">
        <v>231</v>
      </c>
      <c r="C84" s="47">
        <f>IFERROR('Cash Flow Data'!C15,0)</f>
        <v>0</v>
      </c>
      <c r="D84" s="47">
        <f>IFERROR('Cash Flow Data'!D15,0)</f>
        <v>0</v>
      </c>
      <c r="E84" s="47">
        <f>IFERROR('Cash Flow Data'!E15,0)</f>
        <v>0</v>
      </c>
      <c r="F84" s="47">
        <f>IFERROR('Cash Flow Data'!F15,0)</f>
        <v>0</v>
      </c>
      <c r="G84" s="47">
        <f>IFERROR('Cash Flow Data'!G15,0)</f>
        <v>0</v>
      </c>
      <c r="H84" s="47">
        <f>IFERROR('Cash Flow Data'!H15,0)</f>
        <v>0</v>
      </c>
      <c r="I84" s="47">
        <f>IFERROR('Cash Flow Data'!I15,0)</f>
        <v>0</v>
      </c>
      <c r="J84" s="47">
        <f>IFERROR('Cash Flow Data'!J15,0)</f>
        <v>0</v>
      </c>
      <c r="K84" s="47">
        <f>IFERROR('Cash Flow Data'!K15,0)</f>
        <v>0</v>
      </c>
      <c r="L84" s="47">
        <f>IFERROR('Cash Flow Data'!L15,0)</f>
        <v>0</v>
      </c>
    </row>
    <row r="85" spans="2:12" ht="15" hidden="1" customHeight="1" outlineLevel="1" x14ac:dyDescent="0.2">
      <c r="B85" t="s">
        <v>232</v>
      </c>
      <c r="C85" s="47">
        <f>IFERROR('Cash Flow Data'!C16,0)</f>
        <v>2753</v>
      </c>
      <c r="D85" s="47">
        <f>IFERROR('Cash Flow Data'!D16,0)</f>
        <v>1768</v>
      </c>
      <c r="E85" s="47">
        <f>IFERROR('Cash Flow Data'!E16,0)</f>
        <v>1557</v>
      </c>
      <c r="F85" s="47">
        <f>IFERROR('Cash Flow Data'!F16,0)</f>
        <v>1929</v>
      </c>
      <c r="G85" s="47">
        <f>IFERROR('Cash Flow Data'!G16,0)</f>
        <v>1418</v>
      </c>
      <c r="H85" s="47">
        <f>IFERROR('Cash Flow Data'!H16,0)</f>
        <v>1898</v>
      </c>
      <c r="I85" s="47">
        <f>IFERROR('Cash Flow Data'!I16,0)</f>
        <v>1525</v>
      </c>
      <c r="J85" s="47">
        <f>IFERROR('Cash Flow Data'!J16,0)</f>
        <v>1768</v>
      </c>
      <c r="K85" s="47">
        <f>IFERROR('Cash Flow Data'!K16,0)</f>
        <v>2040</v>
      </c>
      <c r="L85" s="47">
        <f>IFERROR('Cash Flow Data'!L16,0)</f>
        <v>2713</v>
      </c>
    </row>
    <row r="86" spans="2:12" ht="15" hidden="1" customHeight="1" outlineLevel="1" x14ac:dyDescent="0.2">
      <c r="B86" t="s">
        <v>233</v>
      </c>
      <c r="C86" s="47">
        <v>0</v>
      </c>
      <c r="D86" s="47">
        <v>0</v>
      </c>
      <c r="E86" s="47">
        <v>0</v>
      </c>
      <c r="F86" s="47">
        <v>0</v>
      </c>
      <c r="G86" s="47">
        <v>0</v>
      </c>
      <c r="H86" s="47">
        <v>0</v>
      </c>
      <c r="I86" s="47">
        <v>0</v>
      </c>
      <c r="J86" s="47">
        <v>0</v>
      </c>
      <c r="K86" s="47">
        <v>0</v>
      </c>
      <c r="L86" s="47">
        <v>0</v>
      </c>
    </row>
    <row r="87" spans="2:12" ht="15" hidden="1" customHeight="1" outlineLevel="1" x14ac:dyDescent="0.2">
      <c r="B87" t="s">
        <v>234</v>
      </c>
      <c r="C87" s="47">
        <f>IFERROR('Cash Flow Data'!C17,0)</f>
        <v>0</v>
      </c>
      <c r="D87" s="47">
        <f>IFERROR('Cash Flow Data'!D17,0)</f>
        <v>0</v>
      </c>
      <c r="E87" s="47">
        <f>IFERROR('Cash Flow Data'!E17,0)</f>
        <v>0</v>
      </c>
      <c r="F87" s="47">
        <f>IFERROR('Cash Flow Data'!F17,0)</f>
        <v>0</v>
      </c>
      <c r="G87" s="47">
        <f>IFERROR('Cash Flow Data'!G17,0)</f>
        <v>0</v>
      </c>
      <c r="H87" s="47">
        <f>IFERROR('Cash Flow Data'!H17,0)</f>
        <v>0</v>
      </c>
      <c r="I87" s="47">
        <f>IFERROR('Cash Flow Data'!I17,0)</f>
        <v>0</v>
      </c>
      <c r="J87" s="47">
        <f>IFERROR('Cash Flow Data'!J17,0)</f>
        <v>0</v>
      </c>
      <c r="K87" s="47">
        <f>IFERROR('Cash Flow Data'!K17,0)</f>
        <v>0</v>
      </c>
      <c r="L87" s="47">
        <f>IFERROR('Cash Flow Data'!L17,0)</f>
        <v>0</v>
      </c>
    </row>
    <row r="88" spans="2:12" ht="15" hidden="1" customHeight="1" outlineLevel="1" x14ac:dyDescent="0.2">
      <c r="B88" t="s">
        <v>235</v>
      </c>
      <c r="C88" s="47">
        <f>IFERROR('Cash Flow Data'!C18,0)</f>
        <v>-164</v>
      </c>
      <c r="D88" s="47">
        <f>IFERROR('Cash Flow Data'!D18,0)</f>
        <v>-130</v>
      </c>
      <c r="E88" s="47">
        <f>IFERROR('Cash Flow Data'!E18,0)</f>
        <v>-24</v>
      </c>
      <c r="F88" s="47">
        <f>IFERROR('Cash Flow Data'!F18,0)</f>
        <v>-108</v>
      </c>
      <c r="G88" s="47">
        <f>IFERROR('Cash Flow Data'!G18,0)</f>
        <v>0</v>
      </c>
      <c r="H88" s="47">
        <f>IFERROR('Cash Flow Data'!H18,0)</f>
        <v>0</v>
      </c>
      <c r="I88" s="47">
        <f>IFERROR('Cash Flow Data'!I18,0)</f>
        <v>0</v>
      </c>
      <c r="J88" s="47">
        <f>IFERROR('Cash Flow Data'!J18,0)</f>
        <v>0</v>
      </c>
      <c r="K88" s="47">
        <f>IFERROR('Cash Flow Data'!K18,0)</f>
        <v>0</v>
      </c>
      <c r="L88" s="47">
        <f>IFERROR('Cash Flow Data'!L18,0)</f>
        <v>0</v>
      </c>
    </row>
    <row r="89" spans="2:12" ht="15" hidden="1" customHeight="1" outlineLevel="1" x14ac:dyDescent="0.2">
      <c r="B89" t="s">
        <v>236</v>
      </c>
      <c r="C89" s="47">
        <f>IFERROR('Cash Flow Data'!C19,0)</f>
        <v>-131</v>
      </c>
      <c r="D89" s="47">
        <f>IFERROR('Cash Flow Data'!D19,0)</f>
        <v>49</v>
      </c>
      <c r="E89" s="47">
        <f>IFERROR('Cash Flow Data'!E19,0)</f>
        <v>1592</v>
      </c>
      <c r="F89" s="47">
        <f>IFERROR('Cash Flow Data'!F19,0)</f>
        <v>-224</v>
      </c>
      <c r="G89" s="47">
        <f>IFERROR('Cash Flow Data'!G19,0)</f>
        <v>-327</v>
      </c>
      <c r="H89" s="47">
        <f>IFERROR('Cash Flow Data'!H19,0)</f>
        <v>-3627</v>
      </c>
      <c r="I89" s="47">
        <f>IFERROR('Cash Flow Data'!I19,0)</f>
        <v>-939</v>
      </c>
      <c r="J89" s="47">
        <f>IFERROR('Cash Flow Data'!J19,0)</f>
        <v>502</v>
      </c>
      <c r="K89" s="47">
        <f>IFERROR('Cash Flow Data'!K19,0)</f>
        <v>-3802</v>
      </c>
      <c r="L89" s="47">
        <f>IFERROR('Cash Flow Data'!L19,0)</f>
        <v>-3522</v>
      </c>
    </row>
    <row r="90" spans="2:12" ht="15" hidden="1" customHeight="1" outlineLevel="1" x14ac:dyDescent="0.2">
      <c r="B90" s="54" t="s">
        <v>237</v>
      </c>
      <c r="C90" s="55">
        <f t="shared" ref="C90:L90" si="23">SUM(C80:C89)</f>
        <v>-14664</v>
      </c>
      <c r="D90" s="55">
        <f t="shared" si="23"/>
        <v>4533</v>
      </c>
      <c r="E90" s="55">
        <f t="shared" si="23"/>
        <v>-632</v>
      </c>
      <c r="F90" s="55">
        <f t="shared" si="23"/>
        <v>-331</v>
      </c>
      <c r="G90" s="55">
        <f t="shared" si="23"/>
        <v>-7373</v>
      </c>
      <c r="H90" s="55">
        <f t="shared" si="23"/>
        <v>-6485</v>
      </c>
      <c r="I90" s="55">
        <f t="shared" si="23"/>
        <v>-1071</v>
      </c>
      <c r="J90" s="55">
        <f t="shared" si="23"/>
        <v>-5093</v>
      </c>
      <c r="K90" s="55">
        <f t="shared" si="23"/>
        <v>-1864</v>
      </c>
      <c r="L90" s="55">
        <f t="shared" si="23"/>
        <v>3546</v>
      </c>
    </row>
    <row r="91" spans="2:12" ht="15" hidden="1" customHeight="1" outlineLevel="1" x14ac:dyDescent="0.2"/>
    <row r="92" spans="2:12" ht="15" hidden="1" customHeight="1" outlineLevel="1" x14ac:dyDescent="0.2">
      <c r="B92" s="54" t="s">
        <v>238</v>
      </c>
    </row>
    <row r="93" spans="2:12" ht="15" hidden="1" customHeight="1" outlineLevel="1" x14ac:dyDescent="0.2">
      <c r="B93" t="s">
        <v>239</v>
      </c>
      <c r="C93" s="47">
        <f>IFERROR('Cash Flow Data'!C21,0)</f>
        <v>0</v>
      </c>
      <c r="D93" s="47">
        <f>IFERROR('Cash Flow Data'!D21,0)</f>
        <v>5</v>
      </c>
      <c r="E93" s="47">
        <f>IFERROR('Cash Flow Data'!E21,0)</f>
        <v>6</v>
      </c>
      <c r="F93" s="47">
        <f>IFERROR('Cash Flow Data'!F21,0)</f>
        <v>6</v>
      </c>
      <c r="G93" s="47">
        <f>IFERROR('Cash Flow Data'!G21,0)</f>
        <v>15</v>
      </c>
      <c r="H93" s="47">
        <f>IFERROR('Cash Flow Data'!H21,0)</f>
        <v>21</v>
      </c>
      <c r="I93" s="47">
        <f>IFERROR('Cash Flow Data'!I21,0)</f>
        <v>35</v>
      </c>
      <c r="J93" s="47">
        <f>IFERROR('Cash Flow Data'!J21,0)</f>
        <v>5</v>
      </c>
      <c r="K93" s="47">
        <f>IFERROR('Cash Flow Data'!K21,0)</f>
        <v>6</v>
      </c>
      <c r="L93" s="47">
        <f>IFERROR('Cash Flow Data'!L21,0)</f>
        <v>2</v>
      </c>
    </row>
    <row r="94" spans="2:12" ht="15" hidden="1" customHeight="1" outlineLevel="1" x14ac:dyDescent="0.2">
      <c r="B94" t="s">
        <v>240</v>
      </c>
      <c r="C94" s="47">
        <v>0</v>
      </c>
      <c r="D94" s="47">
        <v>0</v>
      </c>
      <c r="E94" s="47">
        <v>0</v>
      </c>
      <c r="F94" s="47">
        <v>0</v>
      </c>
      <c r="G94" s="47">
        <v>0</v>
      </c>
      <c r="H94" s="47">
        <v>0</v>
      </c>
      <c r="I94" s="47">
        <v>0</v>
      </c>
      <c r="J94" s="47">
        <v>0</v>
      </c>
      <c r="K94" s="47">
        <v>0</v>
      </c>
      <c r="L94" s="47">
        <v>0</v>
      </c>
    </row>
    <row r="95" spans="2:12" ht="15" hidden="1" customHeight="1" outlineLevel="1" x14ac:dyDescent="0.2">
      <c r="B95" t="s">
        <v>241</v>
      </c>
      <c r="C95" s="47">
        <f>IFERROR('Cash Flow Data'!C22,0)</f>
        <v>0</v>
      </c>
      <c r="D95" s="47">
        <f>IFERROR('Cash Flow Data'!D22,0)</f>
        <v>0</v>
      </c>
      <c r="E95" s="47">
        <f>IFERROR('Cash Flow Data'!E22,0)</f>
        <v>0</v>
      </c>
      <c r="F95" s="47">
        <f>IFERROR('Cash Flow Data'!F22,0)</f>
        <v>0</v>
      </c>
      <c r="G95" s="47">
        <f>IFERROR('Cash Flow Data'!G22,0)</f>
        <v>0</v>
      </c>
      <c r="H95" s="47">
        <f>IFERROR('Cash Flow Data'!H22,0)</f>
        <v>0</v>
      </c>
      <c r="I95" s="47">
        <f>IFERROR('Cash Flow Data'!I22,0)</f>
        <v>0</v>
      </c>
      <c r="J95" s="47">
        <f>IFERROR('Cash Flow Data'!J22,0)</f>
        <v>0</v>
      </c>
      <c r="K95" s="47">
        <f>IFERROR('Cash Flow Data'!K22,0)</f>
        <v>-985</v>
      </c>
      <c r="L95" s="47">
        <f>IFERROR('Cash Flow Data'!L22,0)</f>
        <v>0</v>
      </c>
    </row>
    <row r="96" spans="2:12" ht="15" hidden="1" customHeight="1" outlineLevel="1" x14ac:dyDescent="0.2">
      <c r="B96" t="s">
        <v>242</v>
      </c>
      <c r="C96" s="47">
        <v>0</v>
      </c>
      <c r="D96" s="47">
        <v>0</v>
      </c>
      <c r="E96" s="47">
        <v>0</v>
      </c>
      <c r="F96" s="47">
        <v>0</v>
      </c>
      <c r="G96" s="47">
        <v>0</v>
      </c>
      <c r="H96" s="47">
        <v>0</v>
      </c>
      <c r="I96" s="47">
        <v>0</v>
      </c>
      <c r="J96" s="47">
        <v>0</v>
      </c>
      <c r="K96" s="47">
        <v>0</v>
      </c>
      <c r="L96" s="47">
        <v>0</v>
      </c>
    </row>
    <row r="97" spans="1:12" ht="15" hidden="1" customHeight="1" outlineLevel="1" x14ac:dyDescent="0.2">
      <c r="B97" t="s">
        <v>243</v>
      </c>
      <c r="C97" s="47">
        <f>IFERROR('Cash Flow Data'!C23,0)</f>
        <v>-6939</v>
      </c>
      <c r="D97" s="47">
        <f>IFERROR('Cash Flow Data'!D23,0)</f>
        <v>-7464</v>
      </c>
      <c r="E97" s="47">
        <f>IFERROR('Cash Flow Data'!E23,0)</f>
        <v>-13705</v>
      </c>
      <c r="F97" s="47">
        <f>IFERROR('Cash Flow Data'!F23,0)</f>
        <v>-9548</v>
      </c>
      <c r="G97" s="47">
        <f>IFERROR('Cash Flow Data'!G23,0)</f>
        <v>-9137</v>
      </c>
      <c r="H97" s="47">
        <f>IFERROR('Cash Flow Data'!H23,0)</f>
        <v>-12731</v>
      </c>
      <c r="I97" s="47">
        <f>IFERROR('Cash Flow Data'!I23,0)</f>
        <v>-13653</v>
      </c>
      <c r="J97" s="47">
        <f>IFERROR('Cash Flow Data'!J23,0)</f>
        <v>-14731</v>
      </c>
      <c r="K97" s="47">
        <f>IFERROR('Cash Flow Data'!K23,0)</f>
        <v>-20289</v>
      </c>
      <c r="L97" s="47">
        <f>IFERROR('Cash Flow Data'!L23,0)</f>
        <v>-18656</v>
      </c>
    </row>
    <row r="98" spans="1:12" ht="15" hidden="1" customHeight="1" outlineLevel="1" x14ac:dyDescent="0.2">
      <c r="B98" t="s">
        <v>244</v>
      </c>
      <c r="C98" s="47">
        <f>IFERROR('Cash Flow Data'!C24,0)</f>
        <v>0</v>
      </c>
      <c r="D98" s="47">
        <f>IFERROR('Cash Flow Data'!D24,0)</f>
        <v>0</v>
      </c>
      <c r="E98" s="47">
        <f>IFERROR('Cash Flow Data'!E24,0)</f>
        <v>0</v>
      </c>
      <c r="F98" s="47">
        <f>IFERROR('Cash Flow Data'!F24,0)</f>
        <v>-571</v>
      </c>
      <c r="G98" s="47">
        <f>IFERROR('Cash Flow Data'!G24,0)</f>
        <v>-698</v>
      </c>
      <c r="H98" s="47">
        <f>IFERROR('Cash Flow Data'!H24,0)</f>
        <v>-915</v>
      </c>
      <c r="I98" s="47">
        <f>IFERROR('Cash Flow Data'!I24,0)</f>
        <v>-1231</v>
      </c>
      <c r="J98" s="47">
        <f>IFERROR('Cash Flow Data'!J24,0)</f>
        <v>-2024</v>
      </c>
      <c r="K98" s="47">
        <f>IFERROR('Cash Flow Data'!K24,0)</f>
        <v>-2355</v>
      </c>
      <c r="L98" s="47">
        <f>IFERROR('Cash Flow Data'!L24,0)</f>
        <v>-2824</v>
      </c>
    </row>
    <row r="99" spans="1:12" ht="15" hidden="1" customHeight="1" outlineLevel="1" x14ac:dyDescent="0.2">
      <c r="B99" t="s">
        <v>245</v>
      </c>
      <c r="C99" s="47">
        <f>IFERROR('Cash Flow Data'!C25,0)</f>
        <v>0</v>
      </c>
      <c r="D99" s="47">
        <f>IFERROR('Cash Flow Data'!D25,0)</f>
        <v>-13046</v>
      </c>
      <c r="E99" s="47">
        <f>IFERROR('Cash Flow Data'!E25,0)</f>
        <v>-813</v>
      </c>
      <c r="F99" s="47">
        <f>IFERROR('Cash Flow Data'!F25,0)</f>
        <v>-7478</v>
      </c>
      <c r="G99" s="47">
        <f>IFERROR('Cash Flow Data'!G25,0)</f>
        <v>34</v>
      </c>
      <c r="H99" s="47">
        <f>IFERROR('Cash Flow Data'!H25,0)</f>
        <v>-11017</v>
      </c>
      <c r="I99" s="47">
        <f>IFERROR('Cash Flow Data'!I25,0)</f>
        <v>-11846</v>
      </c>
      <c r="J99" s="47">
        <f>IFERROR('Cash Flow Data'!J25,0)</f>
        <v>-754</v>
      </c>
      <c r="K99" s="47">
        <f>IFERROR('Cash Flow Data'!K25,0)</f>
        <v>-538</v>
      </c>
      <c r="L99" s="47">
        <f>IFERROR('Cash Flow Data'!L25,0)</f>
        <v>-18308</v>
      </c>
    </row>
    <row r="100" spans="1:12" ht="15" hidden="1" customHeight="1" outlineLevel="1" x14ac:dyDescent="0.2">
      <c r="B100" s="54" t="s">
        <v>246</v>
      </c>
      <c r="C100" s="55">
        <f t="shared" ref="C100:L100" si="24">SUM(C93:C99)</f>
        <v>-6939</v>
      </c>
      <c r="D100" s="55">
        <f t="shared" si="24"/>
        <v>-20505</v>
      </c>
      <c r="E100" s="55">
        <f t="shared" si="24"/>
        <v>-14512</v>
      </c>
      <c r="F100" s="55">
        <f t="shared" si="24"/>
        <v>-17591</v>
      </c>
      <c r="G100" s="55">
        <f t="shared" si="24"/>
        <v>-9786</v>
      </c>
      <c r="H100" s="55">
        <f t="shared" si="24"/>
        <v>-24642</v>
      </c>
      <c r="I100" s="55">
        <f t="shared" si="24"/>
        <v>-26695</v>
      </c>
      <c r="J100" s="55">
        <f t="shared" si="24"/>
        <v>-17504</v>
      </c>
      <c r="K100" s="55">
        <f t="shared" si="24"/>
        <v>-24161</v>
      </c>
      <c r="L100" s="55">
        <f t="shared" si="24"/>
        <v>-39786</v>
      </c>
    </row>
    <row r="101" spans="1:12" ht="15" hidden="1" customHeight="1" outlineLevel="1" x14ac:dyDescent="0.2"/>
    <row r="102" spans="1:12" ht="15" hidden="1" customHeight="1" outlineLevel="1" x14ac:dyDescent="0.2">
      <c r="B102" s="54" t="s">
        <v>247</v>
      </c>
      <c r="C102" s="55">
        <f t="shared" ref="C102:L102" si="25">IFERROR(C77+C90+C100,0)</f>
        <v>-12228</v>
      </c>
      <c r="D102" s="55">
        <f t="shared" si="25"/>
        <v>-2670</v>
      </c>
      <c r="E102" s="55">
        <f t="shared" si="25"/>
        <v>-756</v>
      </c>
      <c r="F102" s="55">
        <f t="shared" si="25"/>
        <v>-3286</v>
      </c>
      <c r="G102" s="55">
        <f t="shared" si="25"/>
        <v>7367</v>
      </c>
      <c r="H102" s="55">
        <f t="shared" si="25"/>
        <v>-6752</v>
      </c>
      <c r="I102" s="55">
        <f t="shared" si="25"/>
        <v>-8535</v>
      </c>
      <c r="J102" s="55">
        <f t="shared" si="25"/>
        <v>-1297</v>
      </c>
      <c r="K102" s="55">
        <f t="shared" si="25"/>
        <v>10398</v>
      </c>
      <c r="L102" s="55">
        <f t="shared" si="25"/>
        <v>-2248</v>
      </c>
    </row>
    <row r="103" spans="1:12" collapsed="1" x14ac:dyDescent="0.2"/>
    <row r="104" spans="1:12" ht="15" customHeight="1" x14ac:dyDescent="0.2">
      <c r="A104" t="s">
        <v>173</v>
      </c>
      <c r="B104" s="39" t="s">
        <v>218</v>
      </c>
      <c r="C104" s="40"/>
      <c r="D104" s="40"/>
      <c r="E104" s="40"/>
      <c r="F104" s="40"/>
      <c r="G104" s="40"/>
      <c r="H104" s="39"/>
      <c r="I104" s="40"/>
      <c r="J104" s="40"/>
      <c r="K104" s="40"/>
      <c r="L104" s="40"/>
    </row>
    <row r="105" spans="1:12" ht="15" customHeight="1" x14ac:dyDescent="0.2">
      <c r="B105" s="51" t="s">
        <v>248</v>
      </c>
      <c r="C105" s="47">
        <v>11531</v>
      </c>
      <c r="D105" s="47">
        <v>13218</v>
      </c>
      <c r="E105" s="47">
        <v>14841</v>
      </c>
      <c r="F105" s="47">
        <v>17003</v>
      </c>
      <c r="G105" s="47">
        <v>23224</v>
      </c>
      <c r="H105" s="47">
        <v>23885</v>
      </c>
      <c r="I105" s="47">
        <v>22467</v>
      </c>
      <c r="J105" s="47">
        <v>25210</v>
      </c>
      <c r="K105" s="47">
        <v>35694</v>
      </c>
      <c r="L105" s="47">
        <v>33986</v>
      </c>
    </row>
    <row r="106" spans="1:12" ht="15" customHeight="1" x14ac:dyDescent="0.2">
      <c r="B106" s="51"/>
      <c r="C106" s="47"/>
      <c r="D106" s="47"/>
      <c r="E106" s="47"/>
      <c r="F106" s="47"/>
      <c r="G106" s="47"/>
      <c r="H106" s="47"/>
      <c r="I106" s="47"/>
      <c r="J106" s="47"/>
      <c r="K106" s="47"/>
      <c r="L106" s="47"/>
    </row>
    <row r="107" spans="1:12" ht="15" customHeight="1" x14ac:dyDescent="0.2">
      <c r="B107" s="51" t="s">
        <v>249</v>
      </c>
      <c r="C107" s="47">
        <v>-14664</v>
      </c>
      <c r="D107" s="47">
        <v>4533</v>
      </c>
      <c r="E107" s="47">
        <v>-632</v>
      </c>
      <c r="F107" s="47">
        <v>-331</v>
      </c>
      <c r="G107" s="47">
        <v>-7373</v>
      </c>
      <c r="H107" s="47">
        <v>-6485</v>
      </c>
      <c r="I107" s="47">
        <v>-1071</v>
      </c>
      <c r="J107" s="47">
        <v>-5093</v>
      </c>
      <c r="K107" s="47">
        <v>-1864</v>
      </c>
      <c r="L107" s="47">
        <v>3546</v>
      </c>
    </row>
    <row r="108" spans="1:12" ht="15" customHeight="1" x14ac:dyDescent="0.2">
      <c r="B108" s="51"/>
      <c r="C108" s="47"/>
      <c r="D108" s="47"/>
      <c r="E108" s="47"/>
      <c r="F108" s="47"/>
      <c r="G108" s="47"/>
      <c r="H108" s="47"/>
      <c r="I108" s="47"/>
      <c r="J108" s="47"/>
      <c r="K108" s="47"/>
      <c r="L108" s="47"/>
    </row>
    <row r="109" spans="1:12" ht="15" customHeight="1" x14ac:dyDescent="0.2">
      <c r="B109" s="51" t="s">
        <v>250</v>
      </c>
      <c r="C109" s="47">
        <v>-6939</v>
      </c>
      <c r="D109" s="47">
        <v>-20505</v>
      </c>
      <c r="E109" s="47">
        <v>-14512</v>
      </c>
      <c r="F109" s="47">
        <v>-17591</v>
      </c>
      <c r="G109" s="47">
        <v>-9786</v>
      </c>
      <c r="H109" s="47">
        <v>-24642</v>
      </c>
      <c r="I109" s="47">
        <v>-26695</v>
      </c>
      <c r="J109" s="47">
        <v>-17504</v>
      </c>
      <c r="K109" s="47">
        <v>-24161</v>
      </c>
      <c r="L109" s="47">
        <v>-39786</v>
      </c>
    </row>
    <row r="110" spans="1:12" ht="15" customHeight="1" x14ac:dyDescent="0.2">
      <c r="B110" s="51"/>
      <c r="C110" s="47"/>
      <c r="D110" s="47"/>
      <c r="E110" s="47"/>
      <c r="F110" s="47"/>
      <c r="G110" s="47"/>
      <c r="H110" s="47"/>
      <c r="I110" s="47"/>
      <c r="J110" s="47"/>
      <c r="K110" s="47"/>
      <c r="L110" s="47"/>
    </row>
    <row r="111" spans="1:12" ht="15" customHeight="1" x14ac:dyDescent="0.2">
      <c r="B111" s="53" t="s">
        <v>247</v>
      </c>
      <c r="C111" s="55">
        <v>-10072</v>
      </c>
      <c r="D111" s="55">
        <v>-2754</v>
      </c>
      <c r="E111" s="55">
        <v>-303</v>
      </c>
      <c r="F111" s="55">
        <v>-919</v>
      </c>
      <c r="G111" s="55">
        <v>6065</v>
      </c>
      <c r="H111" s="55">
        <v>-7242</v>
      </c>
      <c r="I111" s="55">
        <v>-5299</v>
      </c>
      <c r="J111" s="55">
        <v>2613</v>
      </c>
      <c r="K111" s="55">
        <v>9669</v>
      </c>
      <c r="L111" s="55">
        <v>-2254</v>
      </c>
    </row>
    <row r="118" spans="5:15" ht="15" customHeight="1" x14ac:dyDescent="0.2">
      <c r="F118" s="56"/>
      <c r="G118" s="56"/>
      <c r="H118" s="56"/>
      <c r="I118" s="56"/>
      <c r="J118" s="56"/>
      <c r="K118" s="56"/>
      <c r="L118" s="56"/>
      <c r="M118" s="56"/>
      <c r="N118" s="56"/>
      <c r="O118" s="56"/>
    </row>
    <row r="119" spans="5:15" ht="15" customHeight="1" x14ac:dyDescent="0.2">
      <c r="E119" s="57"/>
      <c r="F119" s="58"/>
      <c r="G119" s="58"/>
      <c r="H119" s="58"/>
      <c r="I119" s="58"/>
      <c r="J119" s="58"/>
      <c r="K119" s="58"/>
      <c r="L119" s="58"/>
      <c r="M119" s="58"/>
      <c r="N119" s="58"/>
      <c r="O119" s="58"/>
    </row>
    <row r="120" spans="5:15" ht="15" customHeight="1" x14ac:dyDescent="0.2">
      <c r="E120" s="57"/>
      <c r="F120" s="58"/>
      <c r="G120" s="58"/>
      <c r="H120" s="57"/>
      <c r="I120" s="57"/>
      <c r="J120" s="58"/>
      <c r="K120" s="58"/>
      <c r="L120" s="58"/>
      <c r="M120" s="58"/>
      <c r="N120" s="58"/>
      <c r="O120" s="58"/>
    </row>
    <row r="121" spans="5:15" ht="15" customHeight="1" x14ac:dyDescent="0.2">
      <c r="E121" s="57"/>
      <c r="F121" s="58"/>
      <c r="G121" s="58"/>
      <c r="H121" s="58"/>
      <c r="I121" s="58"/>
      <c r="J121" s="58"/>
      <c r="K121" s="58"/>
      <c r="L121" s="58"/>
      <c r="M121" s="58"/>
      <c r="N121" s="58"/>
      <c r="O121" s="58"/>
    </row>
    <row r="122" spans="5:15" ht="15" customHeight="1" x14ac:dyDescent="0.2">
      <c r="E122" s="57"/>
      <c r="F122" s="58"/>
      <c r="G122" s="58"/>
      <c r="H122" s="57"/>
      <c r="I122" s="57"/>
      <c r="J122" s="58"/>
      <c r="K122" s="58"/>
      <c r="L122" s="58"/>
      <c r="M122" s="58"/>
      <c r="N122" s="58"/>
      <c r="O122" s="58"/>
    </row>
  </sheetData>
  <mergeCells count="1">
    <mergeCell ref="B2:M2"/>
  </mergeCells>
  <pageMargins left="0.7" right="0.7" top="0.75" bottom="0.75"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pageSetUpPr fitToPage="1"/>
  </sheetPr>
  <dimension ref="A1:N25"/>
  <sheetViews>
    <sheetView zoomScale="90" zoomScaleNormal="90" workbookViewId="0">
      <pane xSplit="1" ySplit="4" topLeftCell="B5" activePane="bottomRight" state="frozen"/>
      <selection pane="topRight" activeCell="B1" sqref="B1"/>
      <selection pane="bottomLeft" activeCell="A5" sqref="A5"/>
      <selection pane="bottomRight"/>
    </sheetView>
  </sheetViews>
  <sheetFormatPr baseColWidth="10" defaultColWidth="8.83203125" defaultRowHeight="15" x14ac:dyDescent="0.2"/>
  <cols>
    <col min="1" max="1" width="20.6640625" customWidth="1"/>
    <col min="2" max="6" width="13.5" customWidth="1"/>
    <col min="7" max="7" width="14.83203125" customWidth="1"/>
    <col min="8" max="11" width="13.5" customWidth="1"/>
    <col min="12" max="12" width="13.33203125" customWidth="1"/>
    <col min="13" max="14" width="12.1640625" customWidth="1"/>
  </cols>
  <sheetData>
    <row r="1" spans="1:14" s="54" customFormat="1" ht="15" customHeight="1" x14ac:dyDescent="0.2">
      <c r="A1" s="53" t="str">
        <f>'Data Sheet'!B1</f>
        <v>INFOSYS LTD</v>
      </c>
      <c r="H1" s="53" t="s">
        <v>251</v>
      </c>
      <c r="J1" s="59"/>
      <c r="K1" s="59"/>
      <c r="M1" s="54" t="s">
        <v>252</v>
      </c>
    </row>
    <row r="3" spans="1:14" s="54" customFormat="1" ht="15" customHeight="1" x14ac:dyDescent="0.2">
      <c r="A3" s="60" t="s">
        <v>253</v>
      </c>
      <c r="B3" s="61">
        <f>'Data Sheet'!B16</f>
        <v>42825</v>
      </c>
      <c r="C3" s="61">
        <f>'Data Sheet'!C16</f>
        <v>43190</v>
      </c>
      <c r="D3" s="61">
        <f>'Data Sheet'!D16</f>
        <v>43555</v>
      </c>
      <c r="E3" s="61">
        <f>'Data Sheet'!E16</f>
        <v>43921</v>
      </c>
      <c r="F3" s="61">
        <f>'Data Sheet'!F16</f>
        <v>44286</v>
      </c>
      <c r="G3" s="61">
        <f>'Data Sheet'!G16</f>
        <v>44651</v>
      </c>
      <c r="H3" s="61">
        <f>'Data Sheet'!H16</f>
        <v>45016</v>
      </c>
      <c r="I3" s="61">
        <f>'Data Sheet'!I16</f>
        <v>45382</v>
      </c>
      <c r="J3" s="61">
        <f>'Data Sheet'!J16</f>
        <v>45747</v>
      </c>
      <c r="K3" s="61">
        <f>'Data Sheet'!K16</f>
        <v>46112</v>
      </c>
      <c r="L3" s="62" t="s">
        <v>254</v>
      </c>
      <c r="M3" s="62" t="s">
        <v>255</v>
      </c>
      <c r="N3" s="62" t="s">
        <v>256</v>
      </c>
    </row>
    <row r="4" spans="1:14" s="54" customFormat="1" ht="15" customHeight="1" x14ac:dyDescent="0.2">
      <c r="A4" s="54" t="s">
        <v>175</v>
      </c>
      <c r="B4" s="53">
        <f>'Data Sheet'!B17</f>
        <v>68484</v>
      </c>
      <c r="C4" s="53">
        <f>'Data Sheet'!C17</f>
        <v>70522</v>
      </c>
      <c r="D4" s="53">
        <f>'Data Sheet'!D17</f>
        <v>82675</v>
      </c>
      <c r="E4" s="53">
        <f>'Data Sheet'!E17</f>
        <v>90791</v>
      </c>
      <c r="F4" s="53">
        <f>'Data Sheet'!F17</f>
        <v>100472</v>
      </c>
      <c r="G4" s="53">
        <f>'Data Sheet'!G17</f>
        <v>121641</v>
      </c>
      <c r="H4" s="53">
        <f>'Data Sheet'!H17</f>
        <v>146767</v>
      </c>
      <c r="I4" s="53">
        <f>'Data Sheet'!I17</f>
        <v>153670</v>
      </c>
      <c r="J4" s="53">
        <f>'Data Sheet'!J17</f>
        <v>162990</v>
      </c>
      <c r="K4" s="53">
        <f>'Data Sheet'!K17</f>
        <v>178650</v>
      </c>
      <c r="L4" s="53">
        <f>SUM(Quarters!H4:K4)</f>
        <v>184582</v>
      </c>
      <c r="M4" s="53">
        <f>$K4+M23*K4</f>
        <v>195814.60519050248</v>
      </c>
      <c r="N4" s="53">
        <f>$K4+N23*L4</f>
        <v>191150.26667865666</v>
      </c>
    </row>
    <row r="5" spans="1:14" ht="15" customHeight="1" x14ac:dyDescent="0.2">
      <c r="A5" t="s">
        <v>257</v>
      </c>
      <c r="B5" s="51">
        <f>SUM('Data Sheet'!B18,'Data Sheet'!B20:B24, -1*'Data Sheet'!B19)</f>
        <v>49880</v>
      </c>
      <c r="C5" s="51">
        <f>SUM('Data Sheet'!C18,'Data Sheet'!C20:C24, -1*'Data Sheet'!C19)</f>
        <v>51700</v>
      </c>
      <c r="D5" s="51">
        <f>SUM('Data Sheet'!D18,'Data Sheet'!D20:D24, -1*'Data Sheet'!D19)</f>
        <v>62505</v>
      </c>
      <c r="E5" s="51">
        <f>SUM('Data Sheet'!E18,'Data Sheet'!E20:E24, -1*'Data Sheet'!E19)</f>
        <v>68524</v>
      </c>
      <c r="F5" s="51">
        <f>SUM('Data Sheet'!F18,'Data Sheet'!F20:F24, -1*'Data Sheet'!F19)</f>
        <v>72583</v>
      </c>
      <c r="G5" s="51">
        <f>SUM('Data Sheet'!G18,'Data Sheet'!G20:G24, -1*'Data Sheet'!G19)</f>
        <v>90150</v>
      </c>
      <c r="H5" s="51">
        <f>SUM('Data Sheet'!H18,'Data Sheet'!H20:H24, -1*'Data Sheet'!H19)</f>
        <v>111637</v>
      </c>
      <c r="I5" s="51">
        <f>SUM('Data Sheet'!I18,'Data Sheet'!I20:I24, -1*'Data Sheet'!I19)</f>
        <v>117245</v>
      </c>
      <c r="J5" s="51">
        <f>SUM('Data Sheet'!J18,'Data Sheet'!J20:J24, -1*'Data Sheet'!J19)</f>
        <v>123754</v>
      </c>
      <c r="K5" s="51">
        <f>SUM('Data Sheet'!K18,'Data Sheet'!K20:K24, -1*'Data Sheet'!K19)</f>
        <v>136370</v>
      </c>
      <c r="L5" s="51">
        <f>SUM(Quarters!H5:K5)</f>
        <v>140837</v>
      </c>
      <c r="M5" s="51">
        <f>M4-M6</f>
        <v>149188.10794479161</v>
      </c>
      <c r="N5" s="51">
        <f>N4-N6</f>
        <v>145848.62071178103</v>
      </c>
    </row>
    <row r="6" spans="1:14" s="54" customFormat="1" ht="15" customHeight="1" x14ac:dyDescent="0.2">
      <c r="A6" s="54" t="s">
        <v>258</v>
      </c>
      <c r="B6" s="53">
        <f t="shared" ref="B6:K6" si="0">B4-B5</f>
        <v>18604</v>
      </c>
      <c r="C6" s="53">
        <f t="shared" si="0"/>
        <v>18822</v>
      </c>
      <c r="D6" s="53">
        <f t="shared" si="0"/>
        <v>20170</v>
      </c>
      <c r="E6" s="53">
        <f t="shared" si="0"/>
        <v>22267</v>
      </c>
      <c r="F6" s="53">
        <f t="shared" si="0"/>
        <v>27889</v>
      </c>
      <c r="G6" s="53">
        <f t="shared" si="0"/>
        <v>31491</v>
      </c>
      <c r="H6" s="53">
        <f t="shared" si="0"/>
        <v>35130</v>
      </c>
      <c r="I6" s="53">
        <f t="shared" si="0"/>
        <v>36425</v>
      </c>
      <c r="J6" s="53">
        <f t="shared" si="0"/>
        <v>39236</v>
      </c>
      <c r="K6" s="53">
        <f t="shared" si="0"/>
        <v>42280</v>
      </c>
      <c r="L6" s="53">
        <f>SUM(Quarters!H6:K6)</f>
        <v>43745</v>
      </c>
      <c r="M6" s="53">
        <f>M4*M24</f>
        <v>46626.497245710874</v>
      </c>
      <c r="N6" s="53">
        <f>N4*N24</f>
        <v>45301.645966875622</v>
      </c>
    </row>
    <row r="7" spans="1:14" ht="15" customHeight="1" x14ac:dyDescent="0.2">
      <c r="A7" t="s">
        <v>259</v>
      </c>
      <c r="B7" s="51">
        <f>'Data Sheet'!B25</f>
        <v>3050</v>
      </c>
      <c r="C7" s="51">
        <f>'Data Sheet'!C25</f>
        <v>3311</v>
      </c>
      <c r="D7" s="51">
        <f>'Data Sheet'!D25</f>
        <v>2882</v>
      </c>
      <c r="E7" s="51">
        <f>'Data Sheet'!E25</f>
        <v>2803</v>
      </c>
      <c r="F7" s="51">
        <f>'Data Sheet'!F25</f>
        <v>2201</v>
      </c>
      <c r="G7" s="51">
        <f>'Data Sheet'!G25</f>
        <v>2295</v>
      </c>
      <c r="H7" s="51">
        <f>'Data Sheet'!H25</f>
        <v>2701</v>
      </c>
      <c r="I7" s="51">
        <f>'Data Sheet'!I25</f>
        <v>4711</v>
      </c>
      <c r="J7" s="51">
        <f>'Data Sheet'!J25</f>
        <v>3600</v>
      </c>
      <c r="K7" s="51">
        <f>'Data Sheet'!K25</f>
        <v>3033</v>
      </c>
      <c r="L7" s="51">
        <f>SUM(Quarters!H7:K7)</f>
        <v>2975</v>
      </c>
      <c r="M7" s="51">
        <v>0</v>
      </c>
      <c r="N7" s="51">
        <v>0</v>
      </c>
    </row>
    <row r="8" spans="1:14" ht="15" customHeight="1" x14ac:dyDescent="0.2">
      <c r="A8" t="s">
        <v>188</v>
      </c>
      <c r="B8" s="51">
        <f>'Data Sheet'!B26</f>
        <v>1703</v>
      </c>
      <c r="C8" s="51">
        <f>'Data Sheet'!C26</f>
        <v>1863</v>
      </c>
      <c r="D8" s="51">
        <f>'Data Sheet'!D26</f>
        <v>2011</v>
      </c>
      <c r="E8" s="51">
        <f>'Data Sheet'!E26</f>
        <v>2893</v>
      </c>
      <c r="F8" s="51">
        <f>'Data Sheet'!F26</f>
        <v>3267</v>
      </c>
      <c r="G8" s="51">
        <f>'Data Sheet'!G26</f>
        <v>3476</v>
      </c>
      <c r="H8" s="51">
        <f>'Data Sheet'!H26</f>
        <v>4225</v>
      </c>
      <c r="I8" s="51">
        <f>'Data Sheet'!I26</f>
        <v>4678</v>
      </c>
      <c r="J8" s="51">
        <f>'Data Sheet'!J26</f>
        <v>4812</v>
      </c>
      <c r="K8" s="51">
        <f>'Data Sheet'!K26</f>
        <v>4902</v>
      </c>
      <c r="L8" s="51">
        <f>SUM(Quarters!H8:K8)</f>
        <v>5007</v>
      </c>
      <c r="M8" s="51">
        <f>+$L8</f>
        <v>5007</v>
      </c>
      <c r="N8" s="51">
        <f>+$L8</f>
        <v>5007</v>
      </c>
    </row>
    <row r="9" spans="1:14" ht="15" customHeight="1" x14ac:dyDescent="0.2">
      <c r="A9" t="s">
        <v>186</v>
      </c>
      <c r="B9" s="51">
        <f>'Data Sheet'!B27</f>
        <v>0</v>
      </c>
      <c r="C9" s="51">
        <f>'Data Sheet'!C27</f>
        <v>0</v>
      </c>
      <c r="D9" s="51">
        <f>'Data Sheet'!D27</f>
        <v>0</v>
      </c>
      <c r="E9" s="51">
        <f>'Data Sheet'!E27</f>
        <v>170</v>
      </c>
      <c r="F9" s="51">
        <f>'Data Sheet'!F27</f>
        <v>195</v>
      </c>
      <c r="G9" s="51">
        <f>'Data Sheet'!G27</f>
        <v>200</v>
      </c>
      <c r="H9" s="51">
        <f>'Data Sheet'!H27</f>
        <v>284</v>
      </c>
      <c r="I9" s="51">
        <f>'Data Sheet'!I27</f>
        <v>470</v>
      </c>
      <c r="J9" s="51">
        <f>'Data Sheet'!J27</f>
        <v>416</v>
      </c>
      <c r="K9" s="51">
        <f>'Data Sheet'!K27</f>
        <v>416</v>
      </c>
      <c r="L9" s="51">
        <f>SUM(Quarters!H9:K9)</f>
        <v>430</v>
      </c>
      <c r="M9" s="51">
        <f>+$L9</f>
        <v>430</v>
      </c>
      <c r="N9" s="51">
        <f>+$L9</f>
        <v>430</v>
      </c>
    </row>
    <row r="10" spans="1:14" ht="15" customHeight="1" x14ac:dyDescent="0.2">
      <c r="A10" t="s">
        <v>260</v>
      </c>
      <c r="B10" s="51">
        <f>'Data Sheet'!B28</f>
        <v>19951</v>
      </c>
      <c r="C10" s="51">
        <f>'Data Sheet'!C28</f>
        <v>20270</v>
      </c>
      <c r="D10" s="51">
        <f>'Data Sheet'!D28</f>
        <v>21041</v>
      </c>
      <c r="E10" s="51">
        <f>'Data Sheet'!E28</f>
        <v>22007</v>
      </c>
      <c r="F10" s="51">
        <f>'Data Sheet'!F28</f>
        <v>26628</v>
      </c>
      <c r="G10" s="51">
        <f>'Data Sheet'!G28</f>
        <v>30110</v>
      </c>
      <c r="H10" s="51">
        <f>'Data Sheet'!H28</f>
        <v>33322</v>
      </c>
      <c r="I10" s="51">
        <f>'Data Sheet'!I28</f>
        <v>35988</v>
      </c>
      <c r="J10" s="51">
        <f>'Data Sheet'!J28</f>
        <v>37608</v>
      </c>
      <c r="K10" s="51">
        <f>'Data Sheet'!K28</f>
        <v>39995</v>
      </c>
      <c r="L10" s="51">
        <f>SUM(Quarters!H10:K10)</f>
        <v>41283</v>
      </c>
      <c r="M10" s="51">
        <f>M6+M7-SUM(M8:M9)</f>
        <v>41189.497245710874</v>
      </c>
      <c r="N10" s="51">
        <f>N6+N7-SUM(N8:N9)</f>
        <v>39864.645966875622</v>
      </c>
    </row>
    <row r="11" spans="1:14" ht="15" customHeight="1" x14ac:dyDescent="0.2">
      <c r="A11" t="s">
        <v>192</v>
      </c>
      <c r="B11" s="51">
        <f>'Data Sheet'!B29</f>
        <v>5598</v>
      </c>
      <c r="C11" s="51">
        <f>'Data Sheet'!C29</f>
        <v>4241</v>
      </c>
      <c r="D11" s="51">
        <f>'Data Sheet'!D29</f>
        <v>5631</v>
      </c>
      <c r="E11" s="51">
        <f>'Data Sheet'!E29</f>
        <v>5368</v>
      </c>
      <c r="F11" s="51">
        <f>'Data Sheet'!F29</f>
        <v>7205</v>
      </c>
      <c r="G11" s="51">
        <f>'Data Sheet'!G29</f>
        <v>7964</v>
      </c>
      <c r="H11" s="51">
        <f>'Data Sheet'!H29</f>
        <v>9214</v>
      </c>
      <c r="I11" s="51">
        <f>'Data Sheet'!I29</f>
        <v>9740</v>
      </c>
      <c r="J11" s="51">
        <f>'Data Sheet'!J29</f>
        <v>10858</v>
      </c>
      <c r="K11" s="51">
        <f>'Data Sheet'!K29</f>
        <v>10521</v>
      </c>
      <c r="L11" s="51">
        <f>SUM(Quarters!H11:K11)</f>
        <v>10958</v>
      </c>
      <c r="M11" s="63">
        <f>IF($L10&gt;0,$L11/$L10,0)</f>
        <v>0.26543613593973309</v>
      </c>
      <c r="N11" s="63">
        <f>IF($L10&gt;0,$L11/$L10,0)</f>
        <v>0.26543613593973309</v>
      </c>
    </row>
    <row r="12" spans="1:14" s="54" customFormat="1" ht="15" customHeight="1" x14ac:dyDescent="0.2">
      <c r="A12" s="54" t="s">
        <v>261</v>
      </c>
      <c r="B12" s="53">
        <f>'Data Sheet'!B30</f>
        <v>14353</v>
      </c>
      <c r="C12" s="53">
        <f>'Data Sheet'!C30</f>
        <v>16029</v>
      </c>
      <c r="D12" s="53">
        <f>'Data Sheet'!D30</f>
        <v>15404</v>
      </c>
      <c r="E12" s="53">
        <f>'Data Sheet'!E30</f>
        <v>16594</v>
      </c>
      <c r="F12" s="53">
        <f>'Data Sheet'!F30</f>
        <v>19351</v>
      </c>
      <c r="G12" s="53">
        <f>'Data Sheet'!G30</f>
        <v>22110</v>
      </c>
      <c r="H12" s="53">
        <f>'Data Sheet'!H30</f>
        <v>24095</v>
      </c>
      <c r="I12" s="53">
        <f>'Data Sheet'!I30</f>
        <v>26233</v>
      </c>
      <c r="J12" s="53">
        <f>'Data Sheet'!J30</f>
        <v>26713</v>
      </c>
      <c r="K12" s="53">
        <f>'Data Sheet'!K30</f>
        <v>29440</v>
      </c>
      <c r="L12" s="53">
        <f>SUM(Quarters!H12:K12)</f>
        <v>30288</v>
      </c>
      <c r="M12" s="53">
        <f>M10-M11*M10</f>
        <v>30256.3162555091</v>
      </c>
      <c r="N12" s="53">
        <f>N10-N11*N10</f>
        <v>29283.128380822691</v>
      </c>
    </row>
    <row r="13" spans="1:14" ht="15" customHeight="1" x14ac:dyDescent="0.2">
      <c r="A13" t="s">
        <v>197</v>
      </c>
      <c r="B13" s="51">
        <f>IF('Data Sheet'!B93&gt;0,B12/'Data Sheet'!B93,0)</f>
        <v>31.243605650971944</v>
      </c>
      <c r="C13" s="51">
        <f>IF('Data Sheet'!C93&gt;0,C12/'Data Sheet'!C93,0)</f>
        <v>36.694748408955633</v>
      </c>
      <c r="D13" s="51">
        <f>IF('Data Sheet'!D93&gt;0,D12/'Data Sheet'!D93,0)</f>
        <v>35.258303005333154</v>
      </c>
      <c r="E13" s="51">
        <f>IF('Data Sheet'!E93&gt;0,E12/'Data Sheet'!E93,0)</f>
        <v>38.962197698990373</v>
      </c>
      <c r="F13" s="51">
        <f>IF('Data Sheet'!F93&gt;0,F12/'Data Sheet'!F93,0)</f>
        <v>45.417419672823712</v>
      </c>
      <c r="G13" s="51">
        <f>IF('Data Sheet'!G93&gt;0,G12/'Data Sheet'!G93,0)</f>
        <v>52.559013003066532</v>
      </c>
      <c r="H13" s="51">
        <f>IF('Data Sheet'!H93&gt;0,H12/'Data Sheet'!H93,0)</f>
        <v>58.079834160921756</v>
      </c>
      <c r="I13" s="51">
        <f>IF('Data Sheet'!I93&gt;0,I12/'Data Sheet'!I93,0)</f>
        <v>63.198342528126432</v>
      </c>
      <c r="J13" s="51">
        <f>IF('Data Sheet'!J93&gt;0,J12/'Data Sheet'!J93,0)</f>
        <v>64.317530638287636</v>
      </c>
      <c r="K13" s="51">
        <f>IF('Data Sheet'!K93&gt;0,K12/'Data Sheet'!K93,0)</f>
        <v>72.590985304270632</v>
      </c>
      <c r="L13" s="51">
        <f>IF('Data Sheet'!$B6&gt;0,'Profit &amp; Loss'!L12/'Data Sheet'!$B6,0)</f>
        <v>74.635913358468244</v>
      </c>
      <c r="M13" s="51">
        <f>IF('Data Sheet'!$B6&gt;0,'Profit &amp; Loss'!M12/'Data Sheet'!$B6,0)</f>
        <v>74.557838041223974</v>
      </c>
      <c r="N13" s="51">
        <f>IF('Data Sheet'!$B6&gt;0,'Profit &amp; Loss'!N12/'Data Sheet'!$B6,0)</f>
        <v>72.159701290807746</v>
      </c>
    </row>
    <row r="14" spans="1:14" ht="15" customHeight="1" x14ac:dyDescent="0.2">
      <c r="A14" t="s">
        <v>262</v>
      </c>
      <c r="B14" s="51">
        <f t="shared" ref="B14:K14" si="1">IF(B15&gt;0,B15/B13,"")</f>
        <v>16.359507468821846</v>
      </c>
      <c r="C14" s="51">
        <f t="shared" si="1"/>
        <v>15.421825316613639</v>
      </c>
      <c r="D14" s="51">
        <f t="shared" si="1"/>
        <v>21.097158303038171</v>
      </c>
      <c r="E14" s="51">
        <f t="shared" si="1"/>
        <v>16.464676991683742</v>
      </c>
      <c r="F14" s="51">
        <f t="shared" si="1"/>
        <v>30.121702418479664</v>
      </c>
      <c r="G14" s="51">
        <f t="shared" si="1"/>
        <v>36.280171393034827</v>
      </c>
      <c r="H14" s="51">
        <f t="shared" si="1"/>
        <v>24.585986179705333</v>
      </c>
      <c r="I14" s="51">
        <f t="shared" si="1"/>
        <v>23.703944440208897</v>
      </c>
      <c r="J14" s="51">
        <f t="shared" si="1"/>
        <v>24.420247239171935</v>
      </c>
      <c r="K14" s="51">
        <f t="shared" si="1"/>
        <v>17.228034510869566</v>
      </c>
      <c r="L14" s="51">
        <f>IF(L13&gt;0,L15/L13,0)</f>
        <v>15.019579041204439</v>
      </c>
      <c r="M14" s="51">
        <f>M25</f>
        <v>20.092951307863707</v>
      </c>
      <c r="N14" s="51">
        <f>N25</f>
        <v>15.019579041204439</v>
      </c>
    </row>
    <row r="15" spans="1:14" s="54" customFormat="1" ht="15" customHeight="1" x14ac:dyDescent="0.2">
      <c r="A15" s="54" t="s">
        <v>263</v>
      </c>
      <c r="B15" s="53">
        <f>'Data Sheet'!B90</f>
        <v>511.13</v>
      </c>
      <c r="C15" s="53">
        <f>'Data Sheet'!C90</f>
        <v>565.9</v>
      </c>
      <c r="D15" s="53">
        <f>'Data Sheet'!D90</f>
        <v>743.85</v>
      </c>
      <c r="E15" s="53">
        <f>'Data Sheet'!E90</f>
        <v>641.5</v>
      </c>
      <c r="F15" s="53">
        <f>'Data Sheet'!F90</f>
        <v>1368.05</v>
      </c>
      <c r="G15" s="53">
        <f>'Data Sheet'!G90</f>
        <v>1906.85</v>
      </c>
      <c r="H15" s="53">
        <f>'Data Sheet'!H90</f>
        <v>1427.95</v>
      </c>
      <c r="I15" s="53">
        <f>'Data Sheet'!I90</f>
        <v>1498.05</v>
      </c>
      <c r="J15" s="53">
        <f>'Data Sheet'!J90</f>
        <v>1570.65</v>
      </c>
      <c r="K15" s="53">
        <f>'Data Sheet'!K90</f>
        <v>1250.5999999999999</v>
      </c>
      <c r="L15" s="53">
        <f>'Data Sheet'!B8</f>
        <v>1121</v>
      </c>
      <c r="M15" s="64">
        <f>M13*M14</f>
        <v>1498.0870093819017</v>
      </c>
      <c r="N15" s="65">
        <f>N13*N14</f>
        <v>1083.808337126989</v>
      </c>
    </row>
    <row r="17" spans="1:14" s="54" customFormat="1" ht="15" customHeight="1" x14ac:dyDescent="0.2">
      <c r="A17" s="54" t="s">
        <v>264</v>
      </c>
    </row>
    <row r="18" spans="1:14" ht="15" customHeight="1" x14ac:dyDescent="0.2">
      <c r="A18" t="s">
        <v>265</v>
      </c>
      <c r="B18" s="50">
        <f>IF('Data Sheet'!B30&gt;0, 'Data Sheet'!B31/'Data Sheet'!B30, 0)</f>
        <v>0.4104786455793214</v>
      </c>
      <c r="C18" s="50">
        <f>IF('Data Sheet'!C30&gt;0, 'Data Sheet'!C31/'Data Sheet'!C30, 0)</f>
        <v>0.5905296649822197</v>
      </c>
      <c r="D18" s="50">
        <f>IF('Data Sheet'!D30&gt;0, 'Data Sheet'!D31/'Data Sheet'!D30, 0)</f>
        <v>0.5987081277590236</v>
      </c>
      <c r="E18" s="50">
        <f>IF('Data Sheet'!E30&gt;0, 'Data Sheet'!E31/'Data Sheet'!E30, 0)</f>
        <v>0.44757141135350126</v>
      </c>
      <c r="F18" s="50">
        <f>IF('Data Sheet'!F30&gt;0, 'Data Sheet'!F31/'Data Sheet'!F30, 0)</f>
        <v>0.59271355485504629</v>
      </c>
      <c r="G18" s="50">
        <f>IF('Data Sheet'!G30&gt;0, 'Data Sheet'!G31/'Data Sheet'!G30, 0)</f>
        <v>0.58831298055178649</v>
      </c>
      <c r="H18" s="50">
        <f>IF('Data Sheet'!H30&gt;0, 'Data Sheet'!H31/'Data Sheet'!H30, 0)</f>
        <v>0.58390537455903713</v>
      </c>
      <c r="I18" s="50">
        <f>IF('Data Sheet'!I30&gt;0, 'Data Sheet'!I31/'Data Sheet'!I30, 0)</f>
        <v>0.72630656043914155</v>
      </c>
      <c r="J18" s="50">
        <f>IF('Data Sheet'!J30&gt;0, 'Data Sheet'!J31/'Data Sheet'!J30, 0)</f>
        <v>0.66738292217272488</v>
      </c>
      <c r="K18" s="50">
        <f>IF('Data Sheet'!K30&gt;0, 'Data Sheet'!K31/'Data Sheet'!K30, 0)</f>
        <v>0.66</v>
      </c>
    </row>
    <row r="19" spans="1:14" ht="15" customHeight="1" x14ac:dyDescent="0.2">
      <c r="A19" t="s">
        <v>266</v>
      </c>
      <c r="B19" s="50">
        <f t="shared" ref="B19:L19" si="2">IF(B6&gt;0,B6/B4,0)</f>
        <v>0.27165469306699375</v>
      </c>
      <c r="C19" s="50">
        <f t="shared" si="2"/>
        <v>0.26689543688494372</v>
      </c>
      <c r="D19" s="50">
        <f t="shared" si="2"/>
        <v>0.24396734200181433</v>
      </c>
      <c r="E19" s="50">
        <f t="shared" si="2"/>
        <v>0.24525558700752279</v>
      </c>
      <c r="F19" s="50">
        <f t="shared" si="2"/>
        <v>0.27757982323433394</v>
      </c>
      <c r="G19" s="50">
        <f t="shared" si="2"/>
        <v>0.25888475102966929</v>
      </c>
      <c r="H19" s="50">
        <f t="shared" si="2"/>
        <v>0.23935898396778568</v>
      </c>
      <c r="I19" s="50">
        <f t="shared" si="2"/>
        <v>0.23703390381987374</v>
      </c>
      <c r="J19" s="50">
        <f t="shared" si="2"/>
        <v>0.24072642493404503</v>
      </c>
      <c r="K19" s="50">
        <f t="shared" si="2"/>
        <v>0.23666386789812482</v>
      </c>
      <c r="L19" s="50">
        <f t="shared" si="2"/>
        <v>0.23699493991830189</v>
      </c>
    </row>
    <row r="20" spans="1:14" ht="15" customHeight="1" x14ac:dyDescent="0.2">
      <c r="B20" s="50"/>
      <c r="C20" s="50"/>
      <c r="D20" s="50"/>
      <c r="E20" s="50"/>
      <c r="F20" s="50"/>
      <c r="G20" s="50"/>
      <c r="H20" s="50"/>
      <c r="I20" s="50"/>
      <c r="J20" s="50"/>
      <c r="K20" s="50"/>
      <c r="L20" s="50"/>
    </row>
    <row r="21" spans="1:14" ht="15" customHeight="1" x14ac:dyDescent="0.2">
      <c r="B21" s="50"/>
      <c r="C21" s="50"/>
      <c r="D21" s="50"/>
      <c r="E21" s="50"/>
      <c r="F21" s="50"/>
      <c r="G21" s="50"/>
      <c r="H21" s="50"/>
      <c r="I21" s="50"/>
      <c r="J21" s="50"/>
      <c r="K21" s="50"/>
      <c r="L21" s="50"/>
    </row>
    <row r="22" spans="1:14" s="54" customFormat="1" ht="15" customHeight="1" x14ac:dyDescent="0.2">
      <c r="A22" s="60"/>
      <c r="B22" s="61"/>
      <c r="C22" s="61"/>
      <c r="D22" s="61"/>
      <c r="E22" s="61"/>
      <c r="F22" s="61"/>
      <c r="G22" s="61" t="s">
        <v>267</v>
      </c>
      <c r="H22" s="61" t="s">
        <v>268</v>
      </c>
      <c r="I22" s="61" t="s">
        <v>269</v>
      </c>
      <c r="J22" s="61" t="s">
        <v>270</v>
      </c>
      <c r="K22" s="61" t="s">
        <v>271</v>
      </c>
      <c r="L22" s="62" t="s">
        <v>272</v>
      </c>
      <c r="M22" s="62" t="s">
        <v>273</v>
      </c>
      <c r="N22" s="62" t="s">
        <v>274</v>
      </c>
    </row>
    <row r="23" spans="1:14" s="54" customFormat="1" ht="15" customHeight="1" x14ac:dyDescent="0.2">
      <c r="G23" s="54" t="s">
        <v>176</v>
      </c>
      <c r="H23" s="50">
        <f>IF(B4=0,"",POWER($K4/B4,1/9)-1)</f>
        <v>0.11241852195135271</v>
      </c>
      <c r="I23" s="50">
        <f>IF(D4=0,"",POWER($K4/D4,1/7)-1)</f>
        <v>0.11635961365932812</v>
      </c>
      <c r="J23" s="50">
        <f>IF(F4=0,"",POWER($K4/F4,1/5)-1)</f>
        <v>0.12199673885587958</v>
      </c>
      <c r="K23" s="50">
        <f>IF(H4=0,"",POWER($K4/H4, 1/3)-1)</f>
        <v>6.772202424210727E-2</v>
      </c>
      <c r="L23" s="50">
        <f>IF(ISERROR(MAX(IF(J4=0,"",(K4-J4)/J4),IF(K4=0,"",(L4-K4)/K4))),"",MAX(IF(J4=0,"",(K4-J4)/J4),IF(K4=0,"",(L4-K4)/K4)))</f>
        <v>9.6079514080618447E-2</v>
      </c>
      <c r="M23" s="66">
        <f>MAX(K23:L23)</f>
        <v>9.6079514080618447E-2</v>
      </c>
      <c r="N23" s="66">
        <f>MIN(H23:L23)</f>
        <v>6.772202424210727E-2</v>
      </c>
    </row>
    <row r="24" spans="1:14" ht="15" customHeight="1" x14ac:dyDescent="0.2">
      <c r="G24" t="s">
        <v>266</v>
      </c>
      <c r="H24" s="50">
        <f>IF(SUM(B4:$K$4)=0,"",SUMPRODUCT(B19:$K$19,B4:$K$4)/SUM(B4:$K$4))</f>
        <v>0.24842648101153941</v>
      </c>
      <c r="I24" s="50">
        <f>IF(SUM(E4:$K$4)=0,"",SUMPRODUCT(E19:$K$19,E4:$K$4)/SUM(E4:$K$4))</f>
        <v>0.24578290039278269</v>
      </c>
      <c r="J24" s="50">
        <f>IF(SUM(G4:$K$4)=0,"",SUMPRODUCT(G19:$K$19,G4:$K$4)/SUM(G4:$K$4))</f>
        <v>0.241662498461474</v>
      </c>
      <c r="K24" s="50">
        <f>IF(SUM(I4:$K$4)=0, "", SUMPRODUCT(I19:$K$19,I4:$K$4)/SUM(I4:$K$4))</f>
        <v>0.23811552361147564</v>
      </c>
      <c r="L24" s="50">
        <f>L19</f>
        <v>0.23699493991830189</v>
      </c>
      <c r="M24" s="66">
        <f>MAX(K24:L24)</f>
        <v>0.23811552361147564</v>
      </c>
      <c r="N24" s="66">
        <f>MIN(H24:L24)</f>
        <v>0.23699493991830189</v>
      </c>
    </row>
    <row r="25" spans="1:14" ht="15" customHeight="1" x14ac:dyDescent="0.2">
      <c r="G25" t="s">
        <v>275</v>
      </c>
      <c r="H25" s="51">
        <f>IF(ISERROR(AVERAGEIF(B14:$L14,"&gt;0")),"",AVERAGEIF(B14:$L14,"&gt;0"))</f>
        <v>21.882075754802916</v>
      </c>
      <c r="I25" s="51">
        <f>IF(ISERROR(AVERAGEIF(E14:$L14,"&gt;0")),"",AVERAGEIF(E14:$L14,"&gt;0"))</f>
        <v>23.478042776794805</v>
      </c>
      <c r="J25" s="51">
        <f>IF(ISERROR(AVERAGEIF(G14:$L14,"&gt;0")),"",AVERAGEIF(G14:$L14,"&gt;0"))</f>
        <v>23.539660467365835</v>
      </c>
      <c r="K25" s="51">
        <f>IF(ISERROR(AVERAGEIF(I14:$L14,"&gt;0")),"",AVERAGEIF(I14:$L14,"&gt;0"))</f>
        <v>20.092951307863707</v>
      </c>
      <c r="L25" s="51">
        <f>L14</f>
        <v>15.019579041204439</v>
      </c>
      <c r="M25" s="53">
        <f>MAX(K25:L25)</f>
        <v>20.092951307863707</v>
      </c>
      <c r="N25" s="53">
        <f>MIN(H25:L25)</f>
        <v>15.019579041204439</v>
      </c>
    </row>
  </sheetData>
  <hyperlinks>
    <hyperlink ref="M1" r:id="rId1" xr:uid="{00000000-0004-0000-0700-000000000000}"/>
  </hyperlinks>
  <printOptions gridLines="1"/>
  <pageMargins left="0.7" right="0.7" top="0.75" bottom="0.75" header="0.511811023622047" footer="0.511811023622047"/>
  <pageSetup paperSize="9" orientation="landscape" horizontalDpi="300" verticalDpi="30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K24"/>
  <sheetViews>
    <sheetView zoomScale="90" zoomScaleNormal="90" workbookViewId="0">
      <pane xSplit="1" ySplit="3" topLeftCell="B5" activePane="bottomRight" state="frozen"/>
      <selection pane="topRight" activeCell="B1" sqref="B1"/>
      <selection pane="bottomLeft" activeCell="A5" sqref="A5"/>
      <selection pane="bottomRight" activeCell="N21" sqref="N21"/>
    </sheetView>
  </sheetViews>
  <sheetFormatPr baseColWidth="10" defaultColWidth="8.83203125" defaultRowHeight="15" x14ac:dyDescent="0.2"/>
  <cols>
    <col min="1" max="1" width="22.83203125" customWidth="1"/>
    <col min="2" max="2" width="13.5" customWidth="1"/>
    <col min="3" max="11" width="15.5" customWidth="1"/>
  </cols>
  <sheetData>
    <row r="1" spans="1:11" s="54" customFormat="1" ht="15" customHeight="1" x14ac:dyDescent="0.2">
      <c r="A1" s="53" t="str">
        <f>'Profit &amp; Loss'!A1</f>
        <v>INFOSYS LTD</v>
      </c>
      <c r="E1" s="53" t="s">
        <v>251</v>
      </c>
      <c r="J1" s="54" t="s">
        <v>252</v>
      </c>
    </row>
    <row r="2" spans="1:11" ht="15" customHeight="1" x14ac:dyDescent="0.2">
      <c r="G2" s="54"/>
      <c r="H2" s="54"/>
    </row>
    <row r="3" spans="1:11" ht="15" customHeight="1" x14ac:dyDescent="0.2">
      <c r="A3" s="60" t="s">
        <v>253</v>
      </c>
      <c r="B3" s="61">
        <f>'Data Sheet'!B56</f>
        <v>42825</v>
      </c>
      <c r="C3" s="61">
        <f>'Data Sheet'!C56</f>
        <v>43190</v>
      </c>
      <c r="D3" s="61">
        <f>'Data Sheet'!D56</f>
        <v>43555</v>
      </c>
      <c r="E3" s="61">
        <f>'Data Sheet'!E56</f>
        <v>43921</v>
      </c>
      <c r="F3" s="61">
        <f>'Data Sheet'!F56</f>
        <v>44286</v>
      </c>
      <c r="G3" s="61">
        <f>'Data Sheet'!G56</f>
        <v>44651</v>
      </c>
      <c r="H3" s="61">
        <f>'Data Sheet'!H56</f>
        <v>45016</v>
      </c>
      <c r="I3" s="61">
        <f>'Data Sheet'!I56</f>
        <v>45382</v>
      </c>
      <c r="J3" s="61">
        <f>'Data Sheet'!J56</f>
        <v>45747</v>
      </c>
      <c r="K3" s="61">
        <f>'Data Sheet'!K56</f>
        <v>46112</v>
      </c>
    </row>
    <row r="4" spans="1:11" ht="15" customHeight="1" x14ac:dyDescent="0.2">
      <c r="A4" t="s">
        <v>203</v>
      </c>
      <c r="B4" s="67">
        <f>'Data Sheet'!B57</f>
        <v>1144</v>
      </c>
      <c r="C4" s="67">
        <f>'Data Sheet'!C57</f>
        <v>1088</v>
      </c>
      <c r="D4" s="67">
        <f>'Data Sheet'!D57</f>
        <v>2170</v>
      </c>
      <c r="E4" s="67">
        <f>'Data Sheet'!E57</f>
        <v>2122</v>
      </c>
      <c r="F4" s="67">
        <f>'Data Sheet'!F57</f>
        <v>2124</v>
      </c>
      <c r="G4" s="67">
        <f>'Data Sheet'!G57</f>
        <v>2098</v>
      </c>
      <c r="H4" s="67">
        <f>'Data Sheet'!H57</f>
        <v>2069</v>
      </c>
      <c r="I4" s="67">
        <f>'Data Sheet'!I57</f>
        <v>2071</v>
      </c>
      <c r="J4" s="67">
        <f>'Data Sheet'!J57</f>
        <v>2073</v>
      </c>
      <c r="K4" s="67">
        <f>'Data Sheet'!K57</f>
        <v>2024</v>
      </c>
    </row>
    <row r="5" spans="1:11" ht="15" customHeight="1" x14ac:dyDescent="0.2">
      <c r="A5" t="s">
        <v>204</v>
      </c>
      <c r="B5" s="67">
        <f>'Data Sheet'!B58</f>
        <v>67838</v>
      </c>
      <c r="C5" s="67">
        <f>'Data Sheet'!C58</f>
        <v>63835</v>
      </c>
      <c r="D5" s="67">
        <f>'Data Sheet'!D58</f>
        <v>62778</v>
      </c>
      <c r="E5" s="67">
        <f>'Data Sheet'!E58</f>
        <v>63328</v>
      </c>
      <c r="F5" s="67">
        <f>'Data Sheet'!F58</f>
        <v>74227</v>
      </c>
      <c r="G5" s="67">
        <f>'Data Sheet'!G58</f>
        <v>73252</v>
      </c>
      <c r="H5" s="67">
        <f>'Data Sheet'!H58</f>
        <v>73338</v>
      </c>
      <c r="I5" s="67">
        <f>'Data Sheet'!I58</f>
        <v>86045</v>
      </c>
      <c r="J5" s="67">
        <f>'Data Sheet'!J58</f>
        <v>93745</v>
      </c>
      <c r="K5" s="67">
        <f>'Data Sheet'!K58</f>
        <v>90828</v>
      </c>
    </row>
    <row r="6" spans="1:11" ht="15" customHeight="1" x14ac:dyDescent="0.2">
      <c r="A6" t="s">
        <v>205</v>
      </c>
      <c r="B6" s="67">
        <f>'Data Sheet'!B59</f>
        <v>0</v>
      </c>
      <c r="C6" s="67">
        <f>'Data Sheet'!C59</f>
        <v>0</v>
      </c>
      <c r="D6" s="67">
        <f>'Data Sheet'!D59</f>
        <v>0</v>
      </c>
      <c r="E6" s="67">
        <f>'Data Sheet'!E59</f>
        <v>4633</v>
      </c>
      <c r="F6" s="67">
        <f>'Data Sheet'!F59</f>
        <v>5325</v>
      </c>
      <c r="G6" s="67">
        <f>'Data Sheet'!G59</f>
        <v>5474</v>
      </c>
      <c r="H6" s="67">
        <f>'Data Sheet'!H59</f>
        <v>8299</v>
      </c>
      <c r="I6" s="67">
        <f>'Data Sheet'!I59</f>
        <v>8359</v>
      </c>
      <c r="J6" s="67">
        <f>'Data Sheet'!J59</f>
        <v>8227</v>
      </c>
      <c r="K6" s="67">
        <f>'Data Sheet'!K59</f>
        <v>9176</v>
      </c>
    </row>
    <row r="7" spans="1:11" ht="15" customHeight="1" x14ac:dyDescent="0.2">
      <c r="A7" t="s">
        <v>206</v>
      </c>
      <c r="B7" s="67">
        <f>'Data Sheet'!B60</f>
        <v>14166</v>
      </c>
      <c r="C7" s="67">
        <f>'Data Sheet'!C60</f>
        <v>14426</v>
      </c>
      <c r="D7" s="67">
        <f>'Data Sheet'!D60</f>
        <v>19118</v>
      </c>
      <c r="E7" s="67">
        <f>'Data Sheet'!E60</f>
        <v>21717</v>
      </c>
      <c r="F7" s="67">
        <f>'Data Sheet'!F60</f>
        <v>25835</v>
      </c>
      <c r="G7" s="67">
        <f>'Data Sheet'!G60</f>
        <v>35905</v>
      </c>
      <c r="H7" s="67">
        <f>'Data Sheet'!H60</f>
        <v>40890</v>
      </c>
      <c r="I7" s="67">
        <f>'Data Sheet'!I60</f>
        <v>39545</v>
      </c>
      <c r="J7" s="67">
        <f>'Data Sheet'!J60</f>
        <v>43750</v>
      </c>
      <c r="K7" s="67">
        <f>'Data Sheet'!K60</f>
        <v>52260</v>
      </c>
    </row>
    <row r="8" spans="1:11" s="54" customFormat="1" ht="15" customHeight="1" x14ac:dyDescent="0.2">
      <c r="A8" s="54" t="s">
        <v>276</v>
      </c>
      <c r="B8" s="68">
        <f>'Data Sheet'!B61</f>
        <v>83148</v>
      </c>
      <c r="C8" s="68">
        <f>'Data Sheet'!C61</f>
        <v>79349</v>
      </c>
      <c r="D8" s="68">
        <f>'Data Sheet'!D61</f>
        <v>84066</v>
      </c>
      <c r="E8" s="68">
        <f>'Data Sheet'!E61</f>
        <v>91800</v>
      </c>
      <c r="F8" s="68">
        <f>'Data Sheet'!F61</f>
        <v>107511</v>
      </c>
      <c r="G8" s="68">
        <f>'Data Sheet'!G61</f>
        <v>116729</v>
      </c>
      <c r="H8" s="68">
        <f>'Data Sheet'!H61</f>
        <v>124596</v>
      </c>
      <c r="I8" s="68">
        <f>'Data Sheet'!I61</f>
        <v>136020</v>
      </c>
      <c r="J8" s="68">
        <f>'Data Sheet'!J61</f>
        <v>147795</v>
      </c>
      <c r="K8" s="68">
        <f>'Data Sheet'!K61</f>
        <v>154288</v>
      </c>
    </row>
    <row r="9" spans="1:11" s="54" customFormat="1" ht="15" customHeight="1" x14ac:dyDescent="0.2">
      <c r="B9" s="68"/>
      <c r="C9" s="68"/>
      <c r="D9" s="68"/>
      <c r="E9" s="68"/>
      <c r="F9" s="68"/>
      <c r="G9" s="68"/>
      <c r="H9" s="68"/>
      <c r="I9" s="68"/>
      <c r="J9" s="68"/>
      <c r="K9" s="68"/>
    </row>
    <row r="10" spans="1:11" ht="15" customHeight="1" x14ac:dyDescent="0.2">
      <c r="A10" t="s">
        <v>277</v>
      </c>
      <c r="B10" s="67">
        <f>'Data Sheet'!B62</f>
        <v>14179</v>
      </c>
      <c r="C10" s="67">
        <f>'Data Sheet'!C62</f>
        <v>12574</v>
      </c>
      <c r="D10" s="67">
        <f>'Data Sheet'!D62</f>
        <v>15710</v>
      </c>
      <c r="E10" s="67">
        <f>'Data Sheet'!E62</f>
        <v>23789</v>
      </c>
      <c r="F10" s="67">
        <f>'Data Sheet'!F62</f>
        <v>25505</v>
      </c>
      <c r="G10" s="67">
        <f>'Data Sheet'!G62</f>
        <v>25800</v>
      </c>
      <c r="H10" s="67">
        <f>'Data Sheet'!H62</f>
        <v>29225</v>
      </c>
      <c r="I10" s="67">
        <f>'Data Sheet'!I62</f>
        <v>27622</v>
      </c>
      <c r="J10" s="67">
        <f>'Data Sheet'!J62</f>
        <v>30961</v>
      </c>
      <c r="K10" s="67">
        <f>'Data Sheet'!K62</f>
        <v>33770</v>
      </c>
    </row>
    <row r="11" spans="1:11" ht="15" customHeight="1" x14ac:dyDescent="0.2">
      <c r="A11" t="s">
        <v>209</v>
      </c>
      <c r="B11" s="67">
        <f>'Data Sheet'!B63</f>
        <v>1365</v>
      </c>
      <c r="C11" s="67">
        <f>'Data Sheet'!C63</f>
        <v>1606</v>
      </c>
      <c r="D11" s="67">
        <f>'Data Sheet'!D63</f>
        <v>1388</v>
      </c>
      <c r="E11" s="67">
        <f>'Data Sheet'!E63</f>
        <v>954</v>
      </c>
      <c r="F11" s="67">
        <f>'Data Sheet'!F63</f>
        <v>922</v>
      </c>
      <c r="G11" s="67">
        <f>'Data Sheet'!G63</f>
        <v>416</v>
      </c>
      <c r="H11" s="67">
        <f>'Data Sheet'!H63</f>
        <v>288</v>
      </c>
      <c r="I11" s="67">
        <f>'Data Sheet'!I63</f>
        <v>293</v>
      </c>
      <c r="J11" s="67">
        <f>'Data Sheet'!J63</f>
        <v>814</v>
      </c>
      <c r="K11" s="67">
        <f>'Data Sheet'!K63</f>
        <v>526</v>
      </c>
    </row>
    <row r="12" spans="1:11" ht="15" customHeight="1" x14ac:dyDescent="0.2">
      <c r="A12" t="s">
        <v>210</v>
      </c>
      <c r="B12" s="67">
        <f>'Data Sheet'!B64</f>
        <v>16423</v>
      </c>
      <c r="C12" s="67">
        <f>'Data Sheet'!C64</f>
        <v>12163</v>
      </c>
      <c r="D12" s="67">
        <f>'Data Sheet'!D64</f>
        <v>11261</v>
      </c>
      <c r="E12" s="67">
        <f>'Data Sheet'!E64</f>
        <v>8792</v>
      </c>
      <c r="F12" s="67">
        <f>'Data Sheet'!F64</f>
        <v>14205</v>
      </c>
      <c r="G12" s="67">
        <f>'Data Sheet'!G64</f>
        <v>20324</v>
      </c>
      <c r="H12" s="67">
        <f>'Data Sheet'!H64</f>
        <v>19478</v>
      </c>
      <c r="I12" s="67">
        <f>'Data Sheet'!I64</f>
        <v>24623</v>
      </c>
      <c r="J12" s="67">
        <f>'Data Sheet'!J64</f>
        <v>23541</v>
      </c>
      <c r="K12" s="67">
        <f>'Data Sheet'!K64</f>
        <v>21880</v>
      </c>
    </row>
    <row r="13" spans="1:11" ht="15" customHeight="1" x14ac:dyDescent="0.2">
      <c r="A13" t="s">
        <v>211</v>
      </c>
      <c r="B13" s="67">
        <f>'Data Sheet'!B65</f>
        <v>51181</v>
      </c>
      <c r="C13" s="67">
        <f>'Data Sheet'!C65</f>
        <v>53006</v>
      </c>
      <c r="D13" s="67">
        <f>'Data Sheet'!D65</f>
        <v>55707</v>
      </c>
      <c r="E13" s="67">
        <f>'Data Sheet'!E65</f>
        <v>58265</v>
      </c>
      <c r="F13" s="67">
        <f>'Data Sheet'!F65</f>
        <v>66879</v>
      </c>
      <c r="G13" s="67">
        <f>'Data Sheet'!G65</f>
        <v>70189</v>
      </c>
      <c r="H13" s="67">
        <f>'Data Sheet'!H65</f>
        <v>75605</v>
      </c>
      <c r="I13" s="67">
        <f>'Data Sheet'!I65</f>
        <v>83482</v>
      </c>
      <c r="J13" s="67">
        <f>'Data Sheet'!J65</f>
        <v>92479</v>
      </c>
      <c r="K13" s="67">
        <f>'Data Sheet'!K65</f>
        <v>98112</v>
      </c>
    </row>
    <row r="14" spans="1:11" s="54" customFormat="1" ht="15" customHeight="1" x14ac:dyDescent="0.2">
      <c r="A14" s="54" t="s">
        <v>276</v>
      </c>
      <c r="B14" s="67">
        <f>'Data Sheet'!B66</f>
        <v>83148</v>
      </c>
      <c r="C14" s="67">
        <f>'Data Sheet'!C66</f>
        <v>79349</v>
      </c>
      <c r="D14" s="67">
        <f>'Data Sheet'!D66</f>
        <v>84066</v>
      </c>
      <c r="E14" s="67">
        <f>'Data Sheet'!E66</f>
        <v>91800</v>
      </c>
      <c r="F14" s="67">
        <f>'Data Sheet'!F66</f>
        <v>107511</v>
      </c>
      <c r="G14" s="67">
        <f>'Data Sheet'!G66</f>
        <v>116729</v>
      </c>
      <c r="H14" s="67">
        <f>'Data Sheet'!H66</f>
        <v>124596</v>
      </c>
      <c r="I14" s="67">
        <f>'Data Sheet'!I66</f>
        <v>136020</v>
      </c>
      <c r="J14" s="67">
        <f>'Data Sheet'!J66</f>
        <v>147795</v>
      </c>
      <c r="K14" s="67">
        <f>'Data Sheet'!K66</f>
        <v>154288</v>
      </c>
    </row>
    <row r="15" spans="1:11" ht="15" customHeight="1" x14ac:dyDescent="0.2">
      <c r="B15" s="51"/>
      <c r="C15" s="51"/>
      <c r="D15" s="51"/>
      <c r="E15" s="51"/>
      <c r="F15" s="51"/>
      <c r="G15" s="51"/>
      <c r="H15" s="51"/>
      <c r="I15" s="51"/>
      <c r="J15" s="51"/>
      <c r="K15" s="51"/>
    </row>
    <row r="16" spans="1:11" ht="15" customHeight="1" x14ac:dyDescent="0.2">
      <c r="A16" t="s">
        <v>278</v>
      </c>
      <c r="B16" s="51">
        <f t="shared" ref="B16:K16" si="0">B13-B7</f>
        <v>37015</v>
      </c>
      <c r="C16" s="51">
        <f t="shared" si="0"/>
        <v>38580</v>
      </c>
      <c r="D16" s="51">
        <f t="shared" si="0"/>
        <v>36589</v>
      </c>
      <c r="E16" s="51">
        <f t="shared" si="0"/>
        <v>36548</v>
      </c>
      <c r="F16" s="51">
        <f t="shared" si="0"/>
        <v>41044</v>
      </c>
      <c r="G16" s="51">
        <f t="shared" si="0"/>
        <v>34284</v>
      </c>
      <c r="H16" s="51">
        <f t="shared" si="0"/>
        <v>34715</v>
      </c>
      <c r="I16" s="51">
        <f t="shared" si="0"/>
        <v>43937</v>
      </c>
      <c r="J16" s="51">
        <f t="shared" si="0"/>
        <v>48729</v>
      </c>
      <c r="K16" s="51">
        <f t="shared" si="0"/>
        <v>45852</v>
      </c>
    </row>
    <row r="17" spans="1:11" ht="15" customHeight="1" x14ac:dyDescent="0.2">
      <c r="A17" t="s">
        <v>279</v>
      </c>
      <c r="B17" s="51">
        <f>'Data Sheet'!B67</f>
        <v>12322</v>
      </c>
      <c r="C17" s="51">
        <f>'Data Sheet'!C67</f>
        <v>13142</v>
      </c>
      <c r="D17" s="51">
        <f>'Data Sheet'!D67</f>
        <v>14827</v>
      </c>
      <c r="E17" s="51">
        <f>'Data Sheet'!E67</f>
        <v>18487</v>
      </c>
      <c r="F17" s="51">
        <f>'Data Sheet'!F67</f>
        <v>19294</v>
      </c>
      <c r="G17" s="51">
        <f>'Data Sheet'!G67</f>
        <v>22698</v>
      </c>
      <c r="H17" s="51">
        <f>'Data Sheet'!H67</f>
        <v>25424</v>
      </c>
      <c r="I17" s="51">
        <f>'Data Sheet'!I67</f>
        <v>30193</v>
      </c>
      <c r="J17" s="51">
        <f>'Data Sheet'!J67</f>
        <v>31158</v>
      </c>
      <c r="K17" s="51">
        <f>'Data Sheet'!K67</f>
        <v>35234</v>
      </c>
    </row>
    <row r="18" spans="1:11" ht="15" customHeight="1" x14ac:dyDescent="0.2">
      <c r="A18" t="s">
        <v>214</v>
      </c>
      <c r="B18" s="51">
        <f>'Data Sheet'!B68</f>
        <v>0</v>
      </c>
      <c r="C18" s="51">
        <f>'Data Sheet'!C68</f>
        <v>0</v>
      </c>
      <c r="D18" s="51">
        <f>'Data Sheet'!D68</f>
        <v>0</v>
      </c>
      <c r="E18" s="51">
        <f>'Data Sheet'!E68</f>
        <v>0</v>
      </c>
      <c r="F18" s="51">
        <f>'Data Sheet'!F68</f>
        <v>0</v>
      </c>
      <c r="G18" s="51">
        <f>'Data Sheet'!G68</f>
        <v>0</v>
      </c>
      <c r="H18" s="51">
        <f>'Data Sheet'!H68</f>
        <v>0</v>
      </c>
      <c r="I18" s="51">
        <f>'Data Sheet'!I68</f>
        <v>0</v>
      </c>
      <c r="J18" s="51">
        <f>'Data Sheet'!J68</f>
        <v>0</v>
      </c>
      <c r="K18" s="51">
        <f>'Data Sheet'!K68</f>
        <v>0</v>
      </c>
    </row>
    <row r="20" spans="1:11" ht="15" customHeight="1" x14ac:dyDescent="0.2">
      <c r="A20" t="s">
        <v>280</v>
      </c>
      <c r="B20" s="51">
        <f>IF('Profit &amp; Loss'!B4&gt;0,'Balance Sheet'!B17/('Profit &amp; Loss'!B4/365),0)</f>
        <v>65.672711874306415</v>
      </c>
      <c r="C20" s="51">
        <f>IF('Profit &amp; Loss'!C4&gt;0,'Balance Sheet'!C17/('Profit &amp; Loss'!C4/365),0)</f>
        <v>68.018916082924477</v>
      </c>
      <c r="D20" s="51">
        <f>IF('Profit &amp; Loss'!D4&gt;0,'Balance Sheet'!D17/('Profit &amp; Loss'!D4/365),0)</f>
        <v>65.459389174478375</v>
      </c>
      <c r="E20" s="51">
        <f>IF('Profit &amp; Loss'!E4&gt;0,'Balance Sheet'!E17/('Profit &amp; Loss'!E4/365),0)</f>
        <v>74.321849081957467</v>
      </c>
      <c r="F20" s="51">
        <f>IF('Profit &amp; Loss'!F4&gt;0,'Balance Sheet'!F17/('Profit &amp; Loss'!F4/365),0)</f>
        <v>70.092264511505689</v>
      </c>
      <c r="G20" s="51">
        <f>IF('Profit &amp; Loss'!G4&gt;0,'Balance Sheet'!G17/('Profit &amp; Loss'!G4/365),0)</f>
        <v>68.108368066688044</v>
      </c>
      <c r="H20" s="51">
        <f>IF('Profit &amp; Loss'!H4&gt;0,'Balance Sheet'!H17/('Profit &amp; Loss'!H4/365),0)</f>
        <v>63.227837320378562</v>
      </c>
      <c r="I20" s="51">
        <f>IF('Profit &amp; Loss'!I4&gt;0,'Balance Sheet'!I17/('Profit &amp; Loss'!I4/365),0)</f>
        <v>71.715006182078469</v>
      </c>
      <c r="J20" s="51">
        <f>IF('Profit &amp; Loss'!J4&gt;0,'Balance Sheet'!J17/('Profit &amp; Loss'!J4/365),0)</f>
        <v>69.775262286029815</v>
      </c>
      <c r="K20" s="51">
        <f>IF('Profit &amp; Loss'!K4&gt;0,'Balance Sheet'!K17/('Profit &amp; Loss'!K4/365),0)</f>
        <v>71.986621886369988</v>
      </c>
    </row>
    <row r="21" spans="1:11" ht="15" customHeight="1" x14ac:dyDescent="0.2">
      <c r="A21" t="s">
        <v>281</v>
      </c>
      <c r="B21" s="51">
        <f>IF('Balance Sheet'!B18&gt;0,'Profit &amp; Loss'!B4/'Balance Sheet'!B18,0)</f>
        <v>0</v>
      </c>
      <c r="C21" s="51">
        <f>IF('Balance Sheet'!C18&gt;0,'Profit &amp; Loss'!C4/'Balance Sheet'!C18,0)</f>
        <v>0</v>
      </c>
      <c r="D21" s="51">
        <f>IF('Balance Sheet'!D18&gt;0,'Profit &amp; Loss'!D4/'Balance Sheet'!D18,0)</f>
        <v>0</v>
      </c>
      <c r="E21" s="51">
        <f>IF('Balance Sheet'!E18&gt;0,'Profit &amp; Loss'!E4/'Balance Sheet'!E18,0)</f>
        <v>0</v>
      </c>
      <c r="F21" s="51">
        <f>IF('Balance Sheet'!F18&gt;0,'Profit &amp; Loss'!F4/'Balance Sheet'!F18,0)</f>
        <v>0</v>
      </c>
      <c r="G21" s="51">
        <f>IF('Balance Sheet'!G18&gt;0,'Profit &amp; Loss'!G4/'Balance Sheet'!G18,0)</f>
        <v>0</v>
      </c>
      <c r="H21" s="51">
        <f>IF('Balance Sheet'!H18&gt;0,'Profit &amp; Loss'!H4/'Balance Sheet'!H18,0)</f>
        <v>0</v>
      </c>
      <c r="I21" s="51">
        <f>IF('Balance Sheet'!I18&gt;0,'Profit &amp; Loss'!I4/'Balance Sheet'!I18,0)</f>
        <v>0</v>
      </c>
      <c r="J21" s="51">
        <f>IF('Balance Sheet'!J18&gt;0,'Profit &amp; Loss'!J4/'Balance Sheet'!J18,0)</f>
        <v>0</v>
      </c>
      <c r="K21" s="51">
        <f>IF('Balance Sheet'!K18&gt;0,'Profit &amp; Loss'!K4/'Balance Sheet'!K18,0)</f>
        <v>0</v>
      </c>
    </row>
    <row r="23" spans="1:11" s="54" customFormat="1" ht="15" customHeight="1" x14ac:dyDescent="0.2">
      <c r="A23" s="54" t="s">
        <v>282</v>
      </c>
      <c r="B23" s="69">
        <f>IF(SUM('Balance Sheet'!B4:B5)&gt;0,'Profit &amp; Loss'!B12/SUM('Balance Sheet'!B4:B5),"")</f>
        <v>0.20806877156359629</v>
      </c>
      <c r="C23" s="69">
        <f>IF(SUM('Balance Sheet'!C4:C5)&gt;0,'Profit &amp; Loss'!C12/SUM('Balance Sheet'!C4:C5),"")</f>
        <v>0.24689247262141306</v>
      </c>
      <c r="D23" s="69">
        <f>IF(SUM('Balance Sheet'!D4:D5)&gt;0,'Profit &amp; Loss'!D12/SUM('Balance Sheet'!D4:D5),"")</f>
        <v>0.23717435486851018</v>
      </c>
      <c r="E23" s="69">
        <f>IF(SUM('Balance Sheet'!E4:E5)&gt;0,'Profit &amp; Loss'!E12/SUM('Balance Sheet'!E4:E5),"")</f>
        <v>0.25353705118411002</v>
      </c>
      <c r="F23" s="69">
        <f>IF(SUM('Balance Sheet'!F4:F5)&gt;0,'Profit &amp; Loss'!F12/SUM('Balance Sheet'!F4:F5),"")</f>
        <v>0.2534478919726002</v>
      </c>
      <c r="G23" s="69">
        <f>IF(SUM('Balance Sheet'!G4:G5)&gt;0,'Profit &amp; Loss'!G12/SUM('Balance Sheet'!G4:G5),"")</f>
        <v>0.29343065693430659</v>
      </c>
      <c r="H23" s="69">
        <f>IF(SUM('Balance Sheet'!H4:H5)&gt;0,'Profit &amp; Loss'!H12/SUM('Balance Sheet'!H4:H5),"")</f>
        <v>0.31953266938082669</v>
      </c>
      <c r="I23" s="69">
        <f>IF(SUM('Balance Sheet'!I4:I5)&gt;0,'Profit &amp; Loss'!I12/SUM('Balance Sheet'!I4:I5),"")</f>
        <v>0.29770983703300197</v>
      </c>
      <c r="J23" s="69">
        <f>IF(SUM('Balance Sheet'!J4:J5)&gt;0,'Profit &amp; Loss'!J12/SUM('Balance Sheet'!J4:J5),"")</f>
        <v>0.27878895405873633</v>
      </c>
      <c r="K23" s="69">
        <f>IF(SUM('Balance Sheet'!K4:K5)&gt;0,'Profit &amp; Loss'!K12/SUM('Balance Sheet'!K4:K5),"")</f>
        <v>0.31706371429802266</v>
      </c>
    </row>
    <row r="24" spans="1:11" s="54" customFormat="1" ht="15" customHeight="1" x14ac:dyDescent="0.2">
      <c r="A24" s="54" t="s">
        <v>283</v>
      </c>
      <c r="B24" s="69"/>
      <c r="C24" s="69">
        <f>IF((B4+B5+B6+C4+C5+C6)&gt;0,('Profit &amp; Loss'!C10+'Profit &amp; Loss'!C9)*2/(B4+B5+B6+C4+C5+C6),"")</f>
        <v>0.30275195101004443</v>
      </c>
      <c r="D24" s="69">
        <f>IF((C4+C5+C6+D4+D5+D6)&gt;0,('Profit &amp; Loss'!D10+'Profit &amp; Loss'!D9)*2/(C4+C5+C6+D4+D5+D6),"")</f>
        <v>0.3240292290041657</v>
      </c>
      <c r="E24" s="69">
        <f>IF((D4+D5+D6+E4+E5+E6)&gt;0,('Profit &amp; Loss'!E10+'Profit &amp; Loss'!E9)*2/(D4+D5+D6+E4+E5+E6),"")</f>
        <v>0.32847272107886338</v>
      </c>
      <c r="F24" s="69">
        <f>IF((E4+E5+E6+F4+F5+F6)&gt;0,('Profit &amp; Loss'!F10+'Profit &amp; Loss'!F9)*2/(E4+E5+E6+F4+F5+F6),"")</f>
        <v>0.3534946856529102</v>
      </c>
      <c r="G24" s="69">
        <f>IF((F4+F5+F6+G4+G5+G6)&gt;0,('Profit &amp; Loss'!G10+'Profit &amp; Loss'!G9)*2/(F4+F5+F6+G4+G5+G6),"")</f>
        <v>0.37304615384615386</v>
      </c>
      <c r="H24" s="69">
        <f>IF((G4+G5+G6+H4+H5+H6)&gt;0,('Profit &amp; Loss'!H10+'Profit &amp; Loss'!H9)*2/(G4+G5+G6+H4+H5+H6),"")</f>
        <v>0.40850908648878625</v>
      </c>
      <c r="I24" s="69">
        <f>IF((H4+H5+H6+I4+I5+I6)&gt;0,('Profit &amp; Loss'!I10+'Profit &amp; Loss'!I9)*2/(H4+H5+H6+I4+I5+I6),"")</f>
        <v>0.40468195869708795</v>
      </c>
      <c r="J24" s="69">
        <f>IF((I4+I5+I6+J4+J5+J6)&gt;0,('Profit &amp; Loss'!J10+'Profit &amp; Loss'!J9)*2/(I4+I5+I6+J4+J5+J6),"")</f>
        <v>0.37925393975663274</v>
      </c>
      <c r="K24" s="69">
        <f>IF((J4+J5+J6+K4+K5+K6)&gt;0,('Profit &amp; Loss'!K10+'Profit &amp; Loss'!K9)*2/(J4+J5+J6+K4+K5+K6),"")</f>
        <v>0.39220082203879209</v>
      </c>
    </row>
  </sheetData>
  <hyperlinks>
    <hyperlink ref="J1" r:id="rId1" xr:uid="{00000000-0004-0000-0800-000000000000}"/>
  </hyperlinks>
  <printOptions gridLines="1"/>
  <pageMargins left="0.7" right="0.7" top="0.75" bottom="0.75" header="0.511811023622047" footer="0.511811023622047"/>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pageSetUpPr fitToPage="1"/>
  </sheetPr>
  <dimension ref="A1:K22"/>
  <sheetViews>
    <sheetView zoomScale="90" zoomScaleNormal="90" workbookViewId="0">
      <pane xSplit="1" ySplit="3" topLeftCell="B4" activePane="bottomRight" state="frozen"/>
      <selection pane="topRight" activeCell="B1" sqref="B1"/>
      <selection pane="bottomLeft" activeCell="A4" sqref="A4"/>
      <selection pane="bottomRight" activeCell="K5" sqref="K5"/>
    </sheetView>
  </sheetViews>
  <sheetFormatPr baseColWidth="10" defaultColWidth="8.83203125" defaultRowHeight="15" x14ac:dyDescent="0.2"/>
  <cols>
    <col min="1" max="1" width="20.6640625" customWidth="1"/>
    <col min="2" max="11" width="13.5" customWidth="1"/>
  </cols>
  <sheetData>
    <row r="1" spans="1:11" s="54" customFormat="1" ht="15" customHeight="1" x14ac:dyDescent="0.2">
      <c r="A1" s="53" t="str">
        <f>'Profit &amp; Loss'!A1</f>
        <v>INFOSYS LTD</v>
      </c>
      <c r="E1" s="53" t="s">
        <v>251</v>
      </c>
      <c r="J1" s="54" t="s">
        <v>252</v>
      </c>
    </row>
    <row r="3" spans="1:11" s="54" customFormat="1" ht="15" customHeight="1" x14ac:dyDescent="0.2">
      <c r="A3" s="60" t="s">
        <v>253</v>
      </c>
      <c r="B3" s="61">
        <f>'Data Sheet'!B41</f>
        <v>45382</v>
      </c>
      <c r="C3" s="61">
        <f>'Data Sheet'!C41</f>
        <v>45473</v>
      </c>
      <c r="D3" s="61">
        <f>'Data Sheet'!D41</f>
        <v>45565</v>
      </c>
      <c r="E3" s="61">
        <f>'Data Sheet'!E41</f>
        <v>45657</v>
      </c>
      <c r="F3" s="61">
        <f>'Data Sheet'!F41</f>
        <v>45747</v>
      </c>
      <c r="G3" s="61">
        <f>'Data Sheet'!G41</f>
        <v>45838</v>
      </c>
      <c r="H3" s="61">
        <f>'Data Sheet'!H41</f>
        <v>45930</v>
      </c>
      <c r="I3" s="61">
        <f>'Data Sheet'!I41</f>
        <v>46022</v>
      </c>
      <c r="J3" s="61">
        <f>'Data Sheet'!J41</f>
        <v>46112</v>
      </c>
      <c r="K3" s="61">
        <f>'Data Sheet'!K41</f>
        <v>46203</v>
      </c>
    </row>
    <row r="4" spans="1:11" s="54" customFormat="1" ht="15" customHeight="1" x14ac:dyDescent="0.2">
      <c r="A4" s="54" t="s">
        <v>175</v>
      </c>
      <c r="B4" s="53">
        <f>'Data Sheet'!B42</f>
        <v>37923</v>
      </c>
      <c r="C4" s="53">
        <f>'Data Sheet'!C42</f>
        <v>39315</v>
      </c>
      <c r="D4" s="53">
        <f>'Data Sheet'!D42</f>
        <v>40986</v>
      </c>
      <c r="E4" s="53">
        <f>'Data Sheet'!E42</f>
        <v>41764</v>
      </c>
      <c r="F4" s="53">
        <f>'Data Sheet'!F42</f>
        <v>40925</v>
      </c>
      <c r="G4" s="53">
        <f>'Data Sheet'!G42</f>
        <v>42279</v>
      </c>
      <c r="H4" s="53">
        <f>'Data Sheet'!H42</f>
        <v>44490</v>
      </c>
      <c r="I4" s="53">
        <f>'Data Sheet'!I42</f>
        <v>45479</v>
      </c>
      <c r="J4" s="53">
        <f>'Data Sheet'!J42</f>
        <v>46402</v>
      </c>
      <c r="K4" s="53">
        <f>'Data Sheet'!K42</f>
        <v>48211</v>
      </c>
    </row>
    <row r="5" spans="1:11" ht="15" customHeight="1" x14ac:dyDescent="0.2">
      <c r="A5" t="s">
        <v>257</v>
      </c>
      <c r="B5" s="51">
        <f>'Data Sheet'!B43</f>
        <v>29139</v>
      </c>
      <c r="C5" s="51">
        <f>'Data Sheet'!C43</f>
        <v>29878</v>
      </c>
      <c r="D5" s="51">
        <f>'Data Sheet'!D43</f>
        <v>31177</v>
      </c>
      <c r="E5" s="51">
        <f>'Data Sheet'!E43</f>
        <v>31649</v>
      </c>
      <c r="F5" s="51">
        <f>'Data Sheet'!F43</f>
        <v>31051</v>
      </c>
      <c r="G5" s="51">
        <f>'Data Sheet'!G43</f>
        <v>32336</v>
      </c>
      <c r="H5" s="51">
        <f>'Data Sheet'!H43</f>
        <v>33955</v>
      </c>
      <c r="I5" s="51">
        <f>'Data Sheet'!I43</f>
        <v>34845</v>
      </c>
      <c r="J5" s="51">
        <f>'Data Sheet'!J43</f>
        <v>35235</v>
      </c>
      <c r="K5" s="51">
        <f>'Data Sheet'!K43</f>
        <v>36802</v>
      </c>
    </row>
    <row r="6" spans="1:11" s="54" customFormat="1" ht="15" customHeight="1" x14ac:dyDescent="0.2">
      <c r="A6" s="54" t="s">
        <v>258</v>
      </c>
      <c r="B6" s="53">
        <f>'Data Sheet'!B50</f>
        <v>8784</v>
      </c>
      <c r="C6" s="53">
        <f>'Data Sheet'!C50</f>
        <v>9437</v>
      </c>
      <c r="D6" s="53">
        <f>'Data Sheet'!D50</f>
        <v>9809</v>
      </c>
      <c r="E6" s="53">
        <f>'Data Sheet'!E50</f>
        <v>10115</v>
      </c>
      <c r="F6" s="53">
        <f>'Data Sheet'!F50</f>
        <v>9874</v>
      </c>
      <c r="G6" s="53">
        <f>'Data Sheet'!G50</f>
        <v>9943</v>
      </c>
      <c r="H6" s="53">
        <f>'Data Sheet'!H50</f>
        <v>10535</v>
      </c>
      <c r="I6" s="53">
        <f>'Data Sheet'!I50</f>
        <v>10634</v>
      </c>
      <c r="J6" s="53">
        <f>'Data Sheet'!J50</f>
        <v>11167</v>
      </c>
      <c r="K6" s="53">
        <f>'Data Sheet'!K50</f>
        <v>11409</v>
      </c>
    </row>
    <row r="7" spans="1:11" ht="15" customHeight="1" x14ac:dyDescent="0.2">
      <c r="A7" t="s">
        <v>259</v>
      </c>
      <c r="B7" s="51">
        <f>'Data Sheet'!B44</f>
        <v>2729</v>
      </c>
      <c r="C7" s="51">
        <f>'Data Sheet'!C44</f>
        <v>838</v>
      </c>
      <c r="D7" s="51">
        <f>'Data Sheet'!D44</f>
        <v>712</v>
      </c>
      <c r="E7" s="51">
        <f>'Data Sheet'!E44</f>
        <v>859</v>
      </c>
      <c r="F7" s="51">
        <f>'Data Sheet'!F44</f>
        <v>1190</v>
      </c>
      <c r="G7" s="51">
        <f>'Data Sheet'!G44</f>
        <v>1042</v>
      </c>
      <c r="H7" s="51">
        <f>'Data Sheet'!H44</f>
        <v>982</v>
      </c>
      <c r="I7" s="51">
        <f>'Data Sheet'!I44</f>
        <v>-150</v>
      </c>
      <c r="J7" s="51">
        <f>'Data Sheet'!J44</f>
        <v>1159</v>
      </c>
      <c r="K7" s="51">
        <f>'Data Sheet'!K44</f>
        <v>984</v>
      </c>
    </row>
    <row r="8" spans="1:11" ht="15" customHeight="1" x14ac:dyDescent="0.2">
      <c r="A8" t="s">
        <v>188</v>
      </c>
      <c r="B8" s="51">
        <f>'Data Sheet'!B45</f>
        <v>1163</v>
      </c>
      <c r="C8" s="51">
        <f>'Data Sheet'!C45</f>
        <v>1149</v>
      </c>
      <c r="D8" s="51">
        <f>'Data Sheet'!D45</f>
        <v>1160</v>
      </c>
      <c r="E8" s="51">
        <f>'Data Sheet'!E45</f>
        <v>1203</v>
      </c>
      <c r="F8" s="51">
        <f>'Data Sheet'!F45</f>
        <v>1299</v>
      </c>
      <c r="G8" s="51">
        <f>'Data Sheet'!G45</f>
        <v>1140</v>
      </c>
      <c r="H8" s="51">
        <f>'Data Sheet'!H45</f>
        <v>1182</v>
      </c>
      <c r="I8" s="51">
        <f>'Data Sheet'!I45</f>
        <v>1155</v>
      </c>
      <c r="J8" s="51">
        <f>'Data Sheet'!J45</f>
        <v>1424</v>
      </c>
      <c r="K8" s="51">
        <f>'Data Sheet'!K45</f>
        <v>1246</v>
      </c>
    </row>
    <row r="9" spans="1:11" ht="15" customHeight="1" x14ac:dyDescent="0.2">
      <c r="A9" t="s">
        <v>186</v>
      </c>
      <c r="B9" s="51">
        <f>'Data Sheet'!B46</f>
        <v>110</v>
      </c>
      <c r="C9" s="51">
        <f>'Data Sheet'!C46</f>
        <v>105</v>
      </c>
      <c r="D9" s="51">
        <f>'Data Sheet'!D46</f>
        <v>108</v>
      </c>
      <c r="E9" s="51">
        <f>'Data Sheet'!E46</f>
        <v>101</v>
      </c>
      <c r="F9" s="51">
        <f>'Data Sheet'!F46</f>
        <v>102</v>
      </c>
      <c r="G9" s="51">
        <f>'Data Sheet'!G46</f>
        <v>105</v>
      </c>
      <c r="H9" s="51">
        <f>'Data Sheet'!H46</f>
        <v>106</v>
      </c>
      <c r="I9" s="51">
        <f>'Data Sheet'!I46</f>
        <v>100</v>
      </c>
      <c r="J9" s="51">
        <f>'Data Sheet'!J46</f>
        <v>105</v>
      </c>
      <c r="K9" s="51">
        <f>'Data Sheet'!K46</f>
        <v>119</v>
      </c>
    </row>
    <row r="10" spans="1:11" ht="15" customHeight="1" x14ac:dyDescent="0.2">
      <c r="A10" t="s">
        <v>260</v>
      </c>
      <c r="B10" s="51">
        <f>'Data Sheet'!B47</f>
        <v>10240</v>
      </c>
      <c r="C10" s="51">
        <f>'Data Sheet'!C47</f>
        <v>9021</v>
      </c>
      <c r="D10" s="51">
        <f>'Data Sheet'!D47</f>
        <v>9253</v>
      </c>
      <c r="E10" s="51">
        <f>'Data Sheet'!E47</f>
        <v>9670</v>
      </c>
      <c r="F10" s="51">
        <f>'Data Sheet'!F47</f>
        <v>9663</v>
      </c>
      <c r="G10" s="51">
        <f>'Data Sheet'!G47</f>
        <v>9740</v>
      </c>
      <c r="H10" s="51">
        <f>'Data Sheet'!H47</f>
        <v>10229</v>
      </c>
      <c r="I10" s="51">
        <f>'Data Sheet'!I47</f>
        <v>9229</v>
      </c>
      <c r="J10" s="51">
        <f>'Data Sheet'!J47</f>
        <v>10797</v>
      </c>
      <c r="K10" s="51">
        <f>'Data Sheet'!K47</f>
        <v>11028</v>
      </c>
    </row>
    <row r="11" spans="1:11" ht="15" customHeight="1" x14ac:dyDescent="0.2">
      <c r="A11" t="s">
        <v>192</v>
      </c>
      <c r="B11" s="51">
        <f>'Data Sheet'!B48</f>
        <v>2265</v>
      </c>
      <c r="C11" s="51">
        <f>'Data Sheet'!C48</f>
        <v>2647</v>
      </c>
      <c r="D11" s="51">
        <f>'Data Sheet'!D48</f>
        <v>2737</v>
      </c>
      <c r="E11" s="51">
        <f>'Data Sheet'!E48</f>
        <v>2848</v>
      </c>
      <c r="F11" s="51">
        <f>'Data Sheet'!F48</f>
        <v>2625</v>
      </c>
      <c r="G11" s="51">
        <f>'Data Sheet'!G48</f>
        <v>2816</v>
      </c>
      <c r="H11" s="51">
        <f>'Data Sheet'!H48</f>
        <v>2854</v>
      </c>
      <c r="I11" s="51">
        <f>'Data Sheet'!I48</f>
        <v>2563</v>
      </c>
      <c r="J11" s="51">
        <f>'Data Sheet'!J48</f>
        <v>2288</v>
      </c>
      <c r="K11" s="51">
        <f>'Data Sheet'!K48</f>
        <v>3253</v>
      </c>
    </row>
    <row r="12" spans="1:11" s="54" customFormat="1" ht="15" customHeight="1" x14ac:dyDescent="0.2">
      <c r="A12" s="54" t="s">
        <v>261</v>
      </c>
      <c r="B12" s="53">
        <f>'Data Sheet'!B49</f>
        <v>7969</v>
      </c>
      <c r="C12" s="53">
        <f>'Data Sheet'!C49</f>
        <v>6368</v>
      </c>
      <c r="D12" s="53">
        <f>'Data Sheet'!D49</f>
        <v>6506</v>
      </c>
      <c r="E12" s="53">
        <f>'Data Sheet'!E49</f>
        <v>6806</v>
      </c>
      <c r="F12" s="53">
        <f>'Data Sheet'!F49</f>
        <v>7033</v>
      </c>
      <c r="G12" s="53">
        <f>'Data Sheet'!G49</f>
        <v>6921</v>
      </c>
      <c r="H12" s="53">
        <f>'Data Sheet'!H49</f>
        <v>7364</v>
      </c>
      <c r="I12" s="53">
        <f>'Data Sheet'!I49</f>
        <v>6654</v>
      </c>
      <c r="J12" s="53">
        <f>'Data Sheet'!J49</f>
        <v>8501</v>
      </c>
      <c r="K12" s="53">
        <f>'Data Sheet'!K49</f>
        <v>7769</v>
      </c>
    </row>
    <row r="14" spans="1:11" s="54" customFormat="1" ht="15" customHeight="1" x14ac:dyDescent="0.2">
      <c r="A14" s="54" t="s">
        <v>266</v>
      </c>
      <c r="B14" s="69">
        <f t="shared" ref="B14:K14" si="0">IF(B4&gt;0,B6/B4,"")</f>
        <v>0.2316272446800095</v>
      </c>
      <c r="C14" s="69">
        <f t="shared" si="0"/>
        <v>0.24003560981813557</v>
      </c>
      <c r="D14" s="69">
        <f t="shared" si="0"/>
        <v>0.23932562338359439</v>
      </c>
      <c r="E14" s="69">
        <f t="shared" si="0"/>
        <v>0.2421942342687482</v>
      </c>
      <c r="F14" s="69">
        <f t="shared" si="0"/>
        <v>0.24127061698228466</v>
      </c>
      <c r="G14" s="69">
        <f t="shared" si="0"/>
        <v>0.23517585562572435</v>
      </c>
      <c r="H14" s="69">
        <f t="shared" si="0"/>
        <v>0.23679478534502135</v>
      </c>
      <c r="I14" s="69">
        <f t="shared" si="0"/>
        <v>0.2338222036544339</v>
      </c>
      <c r="J14" s="69">
        <f t="shared" si="0"/>
        <v>0.24065773027024698</v>
      </c>
      <c r="K14" s="69">
        <f t="shared" si="0"/>
        <v>0.2366472381821576</v>
      </c>
    </row>
    <row r="22" s="70" customFormat="1" ht="15" customHeight="1" x14ac:dyDescent="0.2"/>
  </sheetData>
  <hyperlinks>
    <hyperlink ref="J1" r:id="rId1" xr:uid="{00000000-0004-0000-0900-000000000000}"/>
  </hyperlinks>
  <printOptions gridLines="1"/>
  <pageMargins left="0.7" right="0.7" top="0.75" bottom="0.75" header="0.511811023622047" footer="0.511811023622047"/>
  <pageSetup paperSize="9" orientation="landscape" horizontalDpi="300" verticalDpi="300"/>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B7:M45"/>
  <sheetViews>
    <sheetView zoomScale="90" zoomScaleNormal="90" workbookViewId="0">
      <pane xSplit="1" ySplit="3" topLeftCell="B13" activePane="bottomRight" state="frozen"/>
      <selection pane="topRight" activeCell="B1" sqref="B1"/>
      <selection pane="bottomLeft" activeCell="A15" sqref="A15"/>
      <selection pane="bottomRight" activeCell="E35" sqref="E35"/>
    </sheetView>
  </sheetViews>
  <sheetFormatPr baseColWidth="10" defaultColWidth="10.6640625" defaultRowHeight="15" x14ac:dyDescent="0.2"/>
  <cols>
    <col min="1" max="1" width="2.33203125" customWidth="1"/>
    <col min="2" max="2" width="20.33203125" customWidth="1"/>
  </cols>
  <sheetData>
    <row r="7" spans="2:13" ht="15" customHeight="1" x14ac:dyDescent="0.2">
      <c r="B7" s="9" t="str">
        <f>"Common Size Income Statement"&amp;" "&amp;"- "&amp;'Data Sheet'!$B$1</f>
        <v>Common Size Income Statement - INFOSYS LTD</v>
      </c>
      <c r="C7" s="9"/>
      <c r="D7" s="9"/>
      <c r="E7" s="9"/>
      <c r="F7" s="9"/>
      <c r="G7" s="9"/>
      <c r="H7" s="9"/>
      <c r="I7" s="9"/>
      <c r="J7" s="9"/>
      <c r="K7" s="9"/>
      <c r="L7" s="9"/>
    </row>
    <row r="9" spans="2:13" ht="15" customHeight="1" x14ac:dyDescent="0.2">
      <c r="B9" s="288" t="s">
        <v>284</v>
      </c>
      <c r="C9" s="289">
        <f>'Data Sheet'!B16</f>
        <v>42825</v>
      </c>
      <c r="D9" s="289">
        <f>'Data Sheet'!C16</f>
        <v>43190</v>
      </c>
      <c r="E9" s="289">
        <f>'Data Sheet'!D16</f>
        <v>43555</v>
      </c>
      <c r="F9" s="289">
        <f>'Data Sheet'!E16</f>
        <v>43921</v>
      </c>
      <c r="G9" s="289">
        <f>'Data Sheet'!F16</f>
        <v>44286</v>
      </c>
      <c r="H9" s="289">
        <f>'Data Sheet'!G16</f>
        <v>44651</v>
      </c>
      <c r="I9" s="289">
        <f>'Data Sheet'!H16</f>
        <v>45016</v>
      </c>
      <c r="J9" s="289">
        <f>'Data Sheet'!I16</f>
        <v>45382</v>
      </c>
      <c r="K9" s="289">
        <f>'Data Sheet'!J16</f>
        <v>45747</v>
      </c>
      <c r="L9" s="289">
        <f>'Data Sheet'!K16</f>
        <v>46112</v>
      </c>
      <c r="M9" s="71"/>
    </row>
    <row r="11" spans="2:13" ht="15" customHeight="1" x14ac:dyDescent="0.2">
      <c r="B11" t="str">
        <f>'Data Sheet'!A17</f>
        <v>Sales</v>
      </c>
      <c r="C11" s="66">
        <f>'Data Sheet'!B17/'Data Sheet'!B$17</f>
        <v>1</v>
      </c>
      <c r="D11" s="66">
        <f>'Data Sheet'!C17/'Data Sheet'!C$17</f>
        <v>1</v>
      </c>
      <c r="E11" s="66">
        <f>'Data Sheet'!D17/'Data Sheet'!D$17</f>
        <v>1</v>
      </c>
      <c r="F11" s="66">
        <f>'Data Sheet'!E17/'Data Sheet'!E$17</f>
        <v>1</v>
      </c>
      <c r="G11" s="66">
        <f>'Data Sheet'!F17/'Data Sheet'!F$17</f>
        <v>1</v>
      </c>
      <c r="H11" s="66">
        <f>'Data Sheet'!G17/'Data Sheet'!G$17</f>
        <v>1</v>
      </c>
      <c r="I11" s="66">
        <f>'Data Sheet'!H17/'Data Sheet'!H$17</f>
        <v>1</v>
      </c>
      <c r="J11" s="66">
        <f>'Data Sheet'!I17/'Data Sheet'!I$17</f>
        <v>1</v>
      </c>
      <c r="K11" s="66">
        <f>'Data Sheet'!J17/'Data Sheet'!J$17</f>
        <v>1</v>
      </c>
      <c r="L11" s="66">
        <f>'Data Sheet'!K17/'Data Sheet'!K$17</f>
        <v>1</v>
      </c>
    </row>
    <row r="12" spans="2:13" ht="15" customHeight="1" x14ac:dyDescent="0.2">
      <c r="B12" t="str">
        <f>'Data Sheet'!A18</f>
        <v>Raw Material Cost</v>
      </c>
      <c r="C12" s="50">
        <f>'Data Sheet'!B18/'Data Sheet'!B$17</f>
        <v>0</v>
      </c>
      <c r="D12" s="50">
        <f>'Data Sheet'!C18/'Data Sheet'!C$17</f>
        <v>0</v>
      </c>
      <c r="E12" s="50">
        <f>'Data Sheet'!D18/'Data Sheet'!D$17</f>
        <v>0</v>
      </c>
      <c r="F12" s="50">
        <f>'Data Sheet'!E18/'Data Sheet'!E$17</f>
        <v>0</v>
      </c>
      <c r="G12" s="50">
        <f>'Data Sheet'!F18/'Data Sheet'!F$17</f>
        <v>0</v>
      </c>
      <c r="H12" s="50">
        <f>'Data Sheet'!G18/'Data Sheet'!G$17</f>
        <v>0</v>
      </c>
      <c r="I12" s="50">
        <f>'Data Sheet'!H18/'Data Sheet'!H$17</f>
        <v>0</v>
      </c>
      <c r="J12" s="50">
        <f>'Data Sheet'!I18/'Data Sheet'!I$17</f>
        <v>0</v>
      </c>
      <c r="K12" s="50">
        <f>'Data Sheet'!J18/'Data Sheet'!J$17</f>
        <v>0</v>
      </c>
      <c r="L12" s="50">
        <f>'Data Sheet'!K18/'Data Sheet'!K$17</f>
        <v>0</v>
      </c>
    </row>
    <row r="13" spans="2:13" ht="15" customHeight="1" x14ac:dyDescent="0.2">
      <c r="B13" t="str">
        <f>'Data Sheet'!A19</f>
        <v>Change in Inventory</v>
      </c>
      <c r="C13" s="50">
        <f>'Data Sheet'!B19/'Data Sheet'!B$17</f>
        <v>0</v>
      </c>
      <c r="D13" s="50">
        <f>'Data Sheet'!C19/'Data Sheet'!C$17</f>
        <v>0</v>
      </c>
      <c r="E13" s="50">
        <f>'Data Sheet'!D19/'Data Sheet'!D$17</f>
        <v>0</v>
      </c>
      <c r="F13" s="50">
        <f>'Data Sheet'!E19/'Data Sheet'!E$17</f>
        <v>0</v>
      </c>
      <c r="G13" s="50">
        <f>'Data Sheet'!F19/'Data Sheet'!F$17</f>
        <v>0</v>
      </c>
      <c r="H13" s="50">
        <f>'Data Sheet'!G19/'Data Sheet'!G$17</f>
        <v>0</v>
      </c>
      <c r="I13" s="50">
        <f>'Data Sheet'!H19/'Data Sheet'!H$17</f>
        <v>0</v>
      </c>
      <c r="J13" s="50">
        <f>'Data Sheet'!I19/'Data Sheet'!I$17</f>
        <v>0</v>
      </c>
      <c r="K13" s="50">
        <f>'Data Sheet'!J19/'Data Sheet'!J$17</f>
        <v>0</v>
      </c>
      <c r="L13" s="50">
        <f>'Data Sheet'!K19/'Data Sheet'!K$17</f>
        <v>0</v>
      </c>
    </row>
    <row r="14" spans="2:13" ht="15" customHeight="1" x14ac:dyDescent="0.2">
      <c r="B14" t="str">
        <f>'Data Sheet'!A20</f>
        <v>Power and Fuel</v>
      </c>
      <c r="C14" s="50">
        <f>'Data Sheet'!B20/'Data Sheet'!B$17</f>
        <v>3.3292447871035571E-3</v>
      </c>
      <c r="D14" s="50">
        <f>'Data Sheet'!C20/'Data Sheet'!C$17</f>
        <v>2.9352542469016762E-3</v>
      </c>
      <c r="E14" s="50">
        <f>'Data Sheet'!D20/'Data Sheet'!D$17</f>
        <v>2.6731176292712428E-3</v>
      </c>
      <c r="F14" s="50">
        <f>'Data Sheet'!E20/'Data Sheet'!E$17</f>
        <v>2.5222764370917824E-3</v>
      </c>
      <c r="G14" s="50">
        <f>'Data Sheet'!F20/'Data Sheet'!F$17</f>
        <v>1.4232821084481249E-3</v>
      </c>
      <c r="H14" s="50">
        <f>'Data Sheet'!G20/'Data Sheet'!G$17</f>
        <v>1.0851604311046439E-3</v>
      </c>
      <c r="I14" s="50">
        <f>'Data Sheet'!H20/'Data Sheet'!H$17</f>
        <v>1.1991796521016304E-3</v>
      </c>
      <c r="J14" s="50">
        <f>'Data Sheet'!I20/'Data Sheet'!I$17</f>
        <v>1.2949827552547668E-3</v>
      </c>
      <c r="K14" s="50">
        <f>'Data Sheet'!J20/'Data Sheet'!J$17</f>
        <v>1.3620467513344376E-3</v>
      </c>
      <c r="L14" s="50">
        <f>'Data Sheet'!K20/'Data Sheet'!K$17</f>
        <v>1.248250769661349E-3</v>
      </c>
    </row>
    <row r="15" spans="2:13" ht="15" customHeight="1" x14ac:dyDescent="0.2">
      <c r="B15" t="str">
        <f>'Data Sheet'!A21</f>
        <v>Other Mfr. Exp</v>
      </c>
      <c r="C15" s="50">
        <f>'Data Sheet'!B21/'Data Sheet'!B$17</f>
        <v>9.8008293908066119E-2</v>
      </c>
      <c r="D15" s="50">
        <f>'Data Sheet'!C21/'Data Sheet'!C$17</f>
        <v>0.1033152775020561</v>
      </c>
      <c r="E15" s="50">
        <f>'Data Sheet'!D21/'Data Sheet'!D$17</f>
        <v>0.11977018445721198</v>
      </c>
      <c r="F15" s="50">
        <f>'Data Sheet'!E21/'Data Sheet'!E$17</f>
        <v>0.12210461389344759</v>
      </c>
      <c r="G15" s="50">
        <f>'Data Sheet'!F21/'Data Sheet'!F$17</f>
        <v>0.12739867823871329</v>
      </c>
      <c r="H15" s="50">
        <f>'Data Sheet'!G21/'Data Sheet'!G$17</f>
        <v>0.17009067666329608</v>
      </c>
      <c r="I15" s="50">
        <f>'Data Sheet'!H21/'Data Sheet'!H$17</f>
        <v>0.17940000136270415</v>
      </c>
      <c r="J15" s="50">
        <f>'Data Sheet'!I21/'Data Sheet'!I$17</f>
        <v>0.17697013079976573</v>
      </c>
      <c r="K15" s="50">
        <f>'Data Sheet'!J21/'Data Sheet'!J$17</f>
        <v>0.18648383336401006</v>
      </c>
      <c r="L15" s="50">
        <f>'Data Sheet'!K21/'Data Sheet'!K$17</f>
        <v>0.18428211586901763</v>
      </c>
    </row>
    <row r="16" spans="2:13" ht="15" customHeight="1" x14ac:dyDescent="0.2">
      <c r="B16" t="str">
        <f>'Data Sheet'!A22</f>
        <v>Employee Cost</v>
      </c>
      <c r="C16" s="50">
        <f>'Data Sheet'!B22/'Data Sheet'!B$17</f>
        <v>0.55004088546229779</v>
      </c>
      <c r="D16" s="50">
        <f>'Data Sheet'!C22/'Data Sheet'!C$17</f>
        <v>0.5516292788066135</v>
      </c>
      <c r="E16" s="50">
        <f>'Data Sheet'!D22/'Data Sheet'!D$17</f>
        <v>0.54820683398850922</v>
      </c>
      <c r="F16" s="50">
        <f>'Data Sheet'!E22/'Data Sheet'!E$17</f>
        <v>0.5605731845667522</v>
      </c>
      <c r="G16" s="50">
        <f>'Data Sheet'!F22/'Data Sheet'!F$17</f>
        <v>0.55286049844732865</v>
      </c>
      <c r="H16" s="50">
        <f>'Data Sheet'!G22/'Data Sheet'!G$17</f>
        <v>0.52611372810154466</v>
      </c>
      <c r="I16" s="50">
        <f>'Data Sheet'!H22/'Data Sheet'!H$17</f>
        <v>0.53400287530575674</v>
      </c>
      <c r="J16" s="50">
        <f>'Data Sheet'!I22/'Data Sheet'!I$17</f>
        <v>0.53774972343333116</v>
      </c>
      <c r="K16" s="50">
        <f>'Data Sheet'!J22/'Data Sheet'!J$17</f>
        <v>0.52744340143567092</v>
      </c>
      <c r="L16" s="50">
        <f>'Data Sheet'!K22/'Data Sheet'!K$17</f>
        <v>0.53239294710327456</v>
      </c>
    </row>
    <row r="17" spans="2:12" ht="15" customHeight="1" x14ac:dyDescent="0.2">
      <c r="B17" t="str">
        <f>'Data Sheet'!A23</f>
        <v>Selling and admin</v>
      </c>
      <c r="C17" s="50">
        <f>'Data Sheet'!B23/'Data Sheet'!B$17</f>
        <v>6.6935342561766253E-2</v>
      </c>
      <c r="D17" s="50">
        <f>'Data Sheet'!C23/'Data Sheet'!C$17</f>
        <v>6.5015172570261764E-2</v>
      </c>
      <c r="E17" s="50">
        <f>'Data Sheet'!D23/'Data Sheet'!D$17</f>
        <v>6.7166616268521315E-2</v>
      </c>
      <c r="F17" s="50">
        <f>'Data Sheet'!E23/'Data Sheet'!E$17</f>
        <v>5.9201903272350781E-2</v>
      </c>
      <c r="G17" s="50">
        <f>'Data Sheet'!F23/'Data Sheet'!F$17</f>
        <v>3.1789951429253921E-2</v>
      </c>
      <c r="H17" s="50">
        <f>'Data Sheet'!G23/'Data Sheet'!G$17</f>
        <v>3.5391027696253727E-2</v>
      </c>
      <c r="I17" s="50">
        <f>'Data Sheet'!H23/'Data Sheet'!H$17</f>
        <v>3.6111659978060463E-2</v>
      </c>
      <c r="J17" s="50">
        <f>'Data Sheet'!I23/'Data Sheet'!I$17</f>
        <v>3.712500813431379E-2</v>
      </c>
      <c r="K17" s="50">
        <f>'Data Sheet'!J23/'Data Sheet'!J$17</f>
        <v>3.7051352843732746E-2</v>
      </c>
      <c r="L17" s="50">
        <f>'Data Sheet'!K23/'Data Sheet'!K$17</f>
        <v>3.7973691575706688E-2</v>
      </c>
    </row>
    <row r="18" spans="2:12" ht="15" customHeight="1" x14ac:dyDescent="0.2">
      <c r="B18" t="str">
        <f>'Data Sheet'!A24</f>
        <v>Other Expenses</v>
      </c>
      <c r="C18" s="50">
        <f>'Data Sheet'!B24/'Data Sheet'!B$17</f>
        <v>1.0031540213772561E-2</v>
      </c>
      <c r="D18" s="50">
        <f>'Data Sheet'!C24/'Data Sheet'!C$17</f>
        <v>1.0209579989223221E-2</v>
      </c>
      <c r="E18" s="50">
        <f>'Data Sheet'!D24/'Data Sheet'!D$17</f>
        <v>1.8215905654671908E-2</v>
      </c>
      <c r="F18" s="50">
        <f>'Data Sheet'!E24/'Data Sheet'!E$17</f>
        <v>1.0342434822834862E-2</v>
      </c>
      <c r="G18" s="50">
        <f>'Data Sheet'!F24/'Data Sheet'!F$17</f>
        <v>8.9477665419221281E-3</v>
      </c>
      <c r="H18" s="50">
        <f>'Data Sheet'!G24/'Data Sheet'!G$17</f>
        <v>8.4346560781315503E-3</v>
      </c>
      <c r="I18" s="50">
        <f>'Data Sheet'!H24/'Data Sheet'!H$17</f>
        <v>9.9272997335913393E-3</v>
      </c>
      <c r="J18" s="50">
        <f>'Data Sheet'!I24/'Data Sheet'!I$17</f>
        <v>9.8262510574607925E-3</v>
      </c>
      <c r="K18" s="50">
        <f>'Data Sheet'!J24/'Data Sheet'!J$17</f>
        <v>6.9329406712068222E-3</v>
      </c>
      <c r="L18" s="50">
        <f>'Data Sheet'!K24/'Data Sheet'!K$17</f>
        <v>7.4391267842149455E-3</v>
      </c>
    </row>
    <row r="19" spans="2:12" ht="15" customHeight="1" x14ac:dyDescent="0.2">
      <c r="B19" t="str">
        <f>'Data Sheet'!A25</f>
        <v>Other Income</v>
      </c>
      <c r="C19" s="50">
        <f>'Data Sheet'!B25/'Data Sheet'!B$17</f>
        <v>4.4535950002920391E-2</v>
      </c>
      <c r="D19" s="50">
        <f>'Data Sheet'!C25/'Data Sheet'!C$17</f>
        <v>4.6949887978219564E-2</v>
      </c>
      <c r="E19" s="50">
        <f>'Data Sheet'!D25/'Data Sheet'!D$17</f>
        <v>3.4859389174478381E-2</v>
      </c>
      <c r="F19" s="50">
        <f>'Data Sheet'!E25/'Data Sheet'!E$17</f>
        <v>3.0873104162306837E-2</v>
      </c>
      <c r="G19" s="50">
        <f>'Data Sheet'!F25/'Data Sheet'!F$17</f>
        <v>2.1906600844016244E-2</v>
      </c>
      <c r="H19" s="50">
        <f>'Data Sheet'!G25/'Data Sheet'!G$17</f>
        <v>1.886699385897847E-2</v>
      </c>
      <c r="I19" s="50">
        <f>'Data Sheet'!H25/'Data Sheet'!H$17</f>
        <v>1.8403319547309682E-2</v>
      </c>
      <c r="J19" s="50">
        <f>'Data Sheet'!I25/'Data Sheet'!I$17</f>
        <v>3.0656601809071388E-2</v>
      </c>
      <c r="K19" s="50">
        <f>'Data Sheet'!J25/'Data Sheet'!J$17</f>
        <v>2.2087244616234125E-2</v>
      </c>
      <c r="L19" s="50">
        <f>'Data Sheet'!K25/'Data Sheet'!K$17</f>
        <v>1.6977329974811082E-2</v>
      </c>
    </row>
    <row r="20" spans="2:12" ht="15" customHeight="1" x14ac:dyDescent="0.2">
      <c r="B20" t="str">
        <f>'Data Sheet'!A26</f>
        <v>Depreciation</v>
      </c>
      <c r="C20" s="50">
        <f>'Data Sheet'!B26/'Data Sheet'!B$17</f>
        <v>2.4867122247532271E-2</v>
      </c>
      <c r="D20" s="50">
        <f>'Data Sheet'!C26/'Data Sheet'!C$17</f>
        <v>2.6417288222115084E-2</v>
      </c>
      <c r="E20" s="50">
        <f>'Data Sheet'!D26/'Data Sheet'!D$17</f>
        <v>2.4324160870879952E-2</v>
      </c>
      <c r="F20" s="50">
        <f>'Data Sheet'!E26/'Data Sheet'!E$17</f>
        <v>3.1864391845006661E-2</v>
      </c>
      <c r="G20" s="50">
        <f>'Data Sheet'!F26/'Data Sheet'!F$17</f>
        <v>3.2516522016084085E-2</v>
      </c>
      <c r="H20" s="50">
        <f>'Data Sheet'!G26/'Data Sheet'!G$17</f>
        <v>2.8575891352422292E-2</v>
      </c>
      <c r="I20" s="50">
        <f>'Data Sheet'!H26/'Data Sheet'!H$17</f>
        <v>2.8787125171189708E-2</v>
      </c>
      <c r="J20" s="50">
        <f>'Data Sheet'!I26/'Data Sheet'!I$17</f>
        <v>3.0441855925034164E-2</v>
      </c>
      <c r="K20" s="50">
        <f>'Data Sheet'!J26/'Data Sheet'!J$17</f>
        <v>2.9523283637032948E-2</v>
      </c>
      <c r="L20" s="50">
        <f>'Data Sheet'!K26/'Data Sheet'!K$17</f>
        <v>2.7439126784214944E-2</v>
      </c>
    </row>
    <row r="21" spans="2:12" ht="15" customHeight="1" x14ac:dyDescent="0.2">
      <c r="B21" t="str">
        <f>'Data Sheet'!A27</f>
        <v>Interest</v>
      </c>
      <c r="C21" s="50">
        <f>'Data Sheet'!B27/'Data Sheet'!B$17</f>
        <v>0</v>
      </c>
      <c r="D21" s="50">
        <f>'Data Sheet'!C27/'Data Sheet'!C$17</f>
        <v>0</v>
      </c>
      <c r="E21" s="50">
        <f>'Data Sheet'!D27/'Data Sheet'!D$17</f>
        <v>0</v>
      </c>
      <c r="F21" s="50">
        <f>'Data Sheet'!E27/'Data Sheet'!E$17</f>
        <v>1.8724322895441179E-3</v>
      </c>
      <c r="G21" s="50">
        <f>'Data Sheet'!F27/'Data Sheet'!F$17</f>
        <v>1.9408392387928975E-3</v>
      </c>
      <c r="H21" s="50">
        <f>'Data Sheet'!G27/'Data Sheet'!G$17</f>
        <v>1.6441824713706726E-3</v>
      </c>
      <c r="I21" s="50">
        <f>'Data Sheet'!H27/'Data Sheet'!H$17</f>
        <v>1.9350398931639945E-3</v>
      </c>
      <c r="J21" s="50">
        <f>'Data Sheet'!I27/'Data Sheet'!I$17</f>
        <v>3.0585019847725646E-3</v>
      </c>
      <c r="K21" s="50">
        <f>'Data Sheet'!J27/'Data Sheet'!J$17</f>
        <v>2.5523038223203877E-3</v>
      </c>
      <c r="L21" s="50">
        <f>'Data Sheet'!K27/'Data Sheet'!K$17</f>
        <v>2.3285754268122026E-3</v>
      </c>
    </row>
    <row r="22" spans="2:12" ht="15" customHeight="1" x14ac:dyDescent="0.2">
      <c r="B22" t="str">
        <f>'Data Sheet'!A28</f>
        <v>Profit before tax</v>
      </c>
      <c r="C22" s="50">
        <f>'Data Sheet'!B28/'Data Sheet'!B$17</f>
        <v>0.29132352082238189</v>
      </c>
      <c r="D22" s="50">
        <f>'Data Sheet'!C28/'Data Sheet'!C$17</f>
        <v>0.28742803664104816</v>
      </c>
      <c r="E22" s="50">
        <f>'Data Sheet'!D28/'Data Sheet'!D$17</f>
        <v>0.25450257030541273</v>
      </c>
      <c r="F22" s="50">
        <f>'Data Sheet'!E28/'Data Sheet'!E$17</f>
        <v>0.24239186703527882</v>
      </c>
      <c r="G22" s="50">
        <f>'Data Sheet'!F28/'Data Sheet'!F$17</f>
        <v>0.26502906282347322</v>
      </c>
      <c r="H22" s="50">
        <f>'Data Sheet'!G28/'Data Sheet'!G$17</f>
        <v>0.24753167106485477</v>
      </c>
      <c r="I22" s="50">
        <f>'Data Sheet'!H28/'Data Sheet'!H$17</f>
        <v>0.22704013845074164</v>
      </c>
      <c r="J22" s="50">
        <f>'Data Sheet'!I28/'Data Sheet'!I$17</f>
        <v>0.2341901477191384</v>
      </c>
      <c r="K22" s="50">
        <f>'Data Sheet'!J28/'Data Sheet'!J$17</f>
        <v>0.23073808209092583</v>
      </c>
      <c r="L22" s="50">
        <f>'Data Sheet'!K28/'Data Sheet'!K$17</f>
        <v>0.22387349566190876</v>
      </c>
    </row>
    <row r="23" spans="2:12" ht="15" customHeight="1" x14ac:dyDescent="0.2">
      <c r="B23" t="str">
        <f>'Data Sheet'!A29</f>
        <v>Tax</v>
      </c>
      <c r="C23" s="50">
        <f>'Data Sheet'!B29/'Data Sheet'!B$17</f>
        <v>8.1741720693884704E-2</v>
      </c>
      <c r="D23" s="50">
        <f>'Data Sheet'!C29/'Data Sheet'!C$17</f>
        <v>6.0137262130966221E-2</v>
      </c>
      <c r="E23" s="50">
        <f>'Data Sheet'!D29/'Data Sheet'!D$17</f>
        <v>6.8110069549440586E-2</v>
      </c>
      <c r="F23" s="50">
        <f>'Data Sheet'!E29/'Data Sheet'!E$17</f>
        <v>5.9124803119251911E-2</v>
      </c>
      <c r="G23" s="50">
        <f>'Data Sheet'!F29/'Data Sheet'!F$17</f>
        <v>7.1711521617963209E-2</v>
      </c>
      <c r="H23" s="50">
        <f>'Data Sheet'!G29/'Data Sheet'!G$17</f>
        <v>6.5471346009980183E-2</v>
      </c>
      <c r="I23" s="50">
        <f>'Data Sheet'!H29/'Data Sheet'!H$17</f>
        <v>6.2779780195820589E-2</v>
      </c>
      <c r="J23" s="50">
        <f>'Data Sheet'!I29/'Data Sheet'!I$17</f>
        <v>6.3382573046137827E-2</v>
      </c>
      <c r="K23" s="50">
        <f>'Data Sheet'!J29/'Data Sheet'!J$17</f>
        <v>6.6617583900852817E-2</v>
      </c>
      <c r="L23" s="50">
        <f>'Data Sheet'!K29/'Data Sheet'!K$17</f>
        <v>5.8891687657430733E-2</v>
      </c>
    </row>
    <row r="24" spans="2:12" ht="15" customHeight="1" x14ac:dyDescent="0.2">
      <c r="B24" t="str">
        <f>'Data Sheet'!A30</f>
        <v>Net profit</v>
      </c>
      <c r="C24" s="50">
        <f>'Data Sheet'!B30/'Data Sheet'!B$17</f>
        <v>0.20958180012849717</v>
      </c>
      <c r="D24" s="50">
        <f>'Data Sheet'!C30/'Data Sheet'!C$17</f>
        <v>0.22729077451008195</v>
      </c>
      <c r="E24" s="50">
        <f>'Data Sheet'!D30/'Data Sheet'!D$17</f>
        <v>0.1863199274266707</v>
      </c>
      <c r="F24" s="50">
        <f>'Data Sheet'!E30/'Data Sheet'!E$17</f>
        <v>0.182771420074677</v>
      </c>
      <c r="G24" s="50">
        <f>'Data Sheet'!F30/'Data Sheet'!F$17</f>
        <v>0.19260092364041723</v>
      </c>
      <c r="H24" s="50">
        <f>'Data Sheet'!G30/'Data Sheet'!G$17</f>
        <v>0.18176437221002786</v>
      </c>
      <c r="I24" s="50">
        <f>'Data Sheet'!H30/'Data Sheet'!H$17</f>
        <v>0.16417178248516356</v>
      </c>
      <c r="J24" s="50">
        <f>'Data Sheet'!I30/'Data Sheet'!I$17</f>
        <v>0.17070996290752913</v>
      </c>
      <c r="K24" s="50">
        <f>'Data Sheet'!J30/'Data Sheet'!J$17</f>
        <v>0.16389349039818393</v>
      </c>
      <c r="L24" s="50">
        <f>'Data Sheet'!K30/'Data Sheet'!K$17</f>
        <v>0.16479149174363281</v>
      </c>
    </row>
    <row r="25" spans="2:12" ht="15" customHeight="1" x14ac:dyDescent="0.2">
      <c r="B25" t="str">
        <f>'Data Sheet'!A31</f>
        <v>Dividend Amount</v>
      </c>
      <c r="C25" s="50">
        <f>'Data Sheet'!B31/'Data Sheet'!B$17</f>
        <v>8.6028853454821572E-2</v>
      </c>
      <c r="D25" s="50">
        <f>'Data Sheet'!C31/'Data Sheet'!C$17</f>
        <v>0.13422194492498796</v>
      </c>
      <c r="E25" s="50">
        <f>'Data Sheet'!D31/'Data Sheet'!D$17</f>
        <v>0.11155125491381918</v>
      </c>
      <c r="F25" s="50">
        <f>'Data Sheet'!E31/'Data Sheet'!E$17</f>
        <v>8.1803262437906837E-2</v>
      </c>
      <c r="G25" s="50">
        <f>'Data Sheet'!F31/'Data Sheet'!F$17</f>
        <v>0.11415717811927702</v>
      </c>
      <c r="H25" s="50">
        <f>'Data Sheet'!G31/'Data Sheet'!G$17</f>
        <v>0.10693433957300581</v>
      </c>
      <c r="I25" s="50">
        <f>'Data Sheet'!H31/'Data Sheet'!H$17</f>
        <v>9.5860786144024213E-2</v>
      </c>
      <c r="J25" s="50">
        <f>'Data Sheet'!I31/'Data Sheet'!I$17</f>
        <v>0.12398776599206092</v>
      </c>
      <c r="K25" s="50">
        <f>'Data Sheet'!J31/'Data Sheet'!J$17</f>
        <v>0.10937971654702743</v>
      </c>
      <c r="L25" s="50">
        <f>'Data Sheet'!K31/'Data Sheet'!K$17</f>
        <v>0.10876238455079766</v>
      </c>
    </row>
    <row r="26" spans="2:12" ht="15" customHeight="1" x14ac:dyDescent="0.2">
      <c r="B26" t="str">
        <f>'Data Sheet'!A34</f>
        <v>EBITDA</v>
      </c>
      <c r="C26" s="50">
        <f>'Data Sheet'!B34/'Data Sheet'!B$17</f>
        <v>0.31619064306991412</v>
      </c>
      <c r="D26" s="50">
        <f>'Data Sheet'!C34/'Data Sheet'!C$17</f>
        <v>0.31384532486316324</v>
      </c>
      <c r="E26" s="50">
        <f>'Data Sheet'!D34/'Data Sheet'!D$17</f>
        <v>0.27875415784699126</v>
      </c>
      <c r="F26" s="50">
        <f>'Data Sheet'!E34/'Data Sheet'!E$17</f>
        <v>0.27563304732847971</v>
      </c>
      <c r="G26" s="50">
        <f>'Data Sheet'!F34/'Data Sheet'!F$17</f>
        <v>0.29876980651325741</v>
      </c>
      <c r="H26" s="50">
        <f>'Data Sheet'!G34/'Data Sheet'!G$17</f>
        <v>0.277455792043801</v>
      </c>
      <c r="I26" s="50">
        <f>'Data Sheet'!H34/'Data Sheet'!H$17</f>
        <v>0.25767372774533787</v>
      </c>
      <c r="J26" s="50">
        <f>'Data Sheet'!I34/'Data Sheet'!I$17</f>
        <v>0.26759289386347368</v>
      </c>
      <c r="K26" s="50">
        <f>'Data Sheet'!J34/'Data Sheet'!J$17</f>
        <v>0.26258666175839007</v>
      </c>
      <c r="L26" s="50">
        <f>'Data Sheet'!K34/'Data Sheet'!K$17</f>
        <v>0.25345088161209067</v>
      </c>
    </row>
    <row r="28" spans="2:12" ht="15" customHeight="1" x14ac:dyDescent="0.2">
      <c r="B28" s="9" t="str">
        <f>"Common Size Income Statement"&amp;" "&amp;"- "&amp;'Data Sheet'!$B$1</f>
        <v>Common Size Income Statement - INFOSYS LTD</v>
      </c>
      <c r="C28" s="9"/>
      <c r="D28" s="9"/>
      <c r="E28" s="9"/>
      <c r="F28" s="9"/>
      <c r="G28" s="9"/>
      <c r="H28" s="9"/>
      <c r="I28" s="9"/>
      <c r="J28" s="9"/>
      <c r="K28" s="9"/>
      <c r="L28" s="9"/>
    </row>
    <row r="30" spans="2:12" ht="15" customHeight="1" x14ac:dyDescent="0.2">
      <c r="B30" s="288" t="s">
        <v>284</v>
      </c>
      <c r="C30" s="289">
        <f>'Data Sheet'!B16</f>
        <v>42825</v>
      </c>
      <c r="D30" s="289">
        <f>'Data Sheet'!C16</f>
        <v>43190</v>
      </c>
      <c r="E30" s="289">
        <f>'Data Sheet'!D16</f>
        <v>43555</v>
      </c>
      <c r="F30" s="289">
        <f>'Data Sheet'!E16</f>
        <v>43921</v>
      </c>
      <c r="G30" s="289">
        <f>'Data Sheet'!F16</f>
        <v>44286</v>
      </c>
      <c r="H30" s="289">
        <f>'Data Sheet'!G16</f>
        <v>44651</v>
      </c>
      <c r="I30" s="289">
        <f>'Data Sheet'!H16</f>
        <v>45016</v>
      </c>
      <c r="J30" s="289">
        <f>'Data Sheet'!I16</f>
        <v>45382</v>
      </c>
      <c r="K30" s="289">
        <f>'Data Sheet'!J16</f>
        <v>45747</v>
      </c>
      <c r="L30" s="289">
        <f>'Data Sheet'!K16</f>
        <v>46112</v>
      </c>
    </row>
    <row r="31" spans="2:12" ht="15" customHeight="1" x14ac:dyDescent="0.2">
      <c r="C31" s="71"/>
      <c r="D31" s="71"/>
      <c r="E31" s="71"/>
      <c r="F31" s="71"/>
      <c r="G31" s="71"/>
      <c r="H31" s="71"/>
      <c r="I31" s="71"/>
      <c r="J31" s="71"/>
      <c r="K31" s="71"/>
      <c r="L31" s="71"/>
    </row>
    <row r="32" spans="2:12" ht="15" customHeight="1" x14ac:dyDescent="0.2">
      <c r="B32" s="54" t="s">
        <v>207</v>
      </c>
      <c r="C32" s="50">
        <f>'Data Sheet'!B61/'Data Sheet'!B$61</f>
        <v>1</v>
      </c>
      <c r="D32" s="50">
        <f>'Data Sheet'!C61/'Data Sheet'!C$61</f>
        <v>1</v>
      </c>
      <c r="E32" s="50">
        <f>'Data Sheet'!D61/'Data Sheet'!D$61</f>
        <v>1</v>
      </c>
      <c r="F32" s="50">
        <f>'Data Sheet'!E61/'Data Sheet'!E$61</f>
        <v>1</v>
      </c>
      <c r="G32" s="50">
        <f>'Data Sheet'!F61/'Data Sheet'!F$61</f>
        <v>1</v>
      </c>
      <c r="H32" s="50">
        <f>'Data Sheet'!G61/'Data Sheet'!G$61</f>
        <v>1</v>
      </c>
      <c r="I32" s="50">
        <f>'Data Sheet'!H61/'Data Sheet'!H$61</f>
        <v>1</v>
      </c>
      <c r="J32" s="50">
        <f>'Data Sheet'!I61/'Data Sheet'!I$61</f>
        <v>1</v>
      </c>
      <c r="K32" s="50">
        <f>'Data Sheet'!J61/'Data Sheet'!J$61</f>
        <v>1</v>
      </c>
      <c r="L32" s="50">
        <f>'Data Sheet'!K61/'Data Sheet'!K$61</f>
        <v>1</v>
      </c>
    </row>
    <row r="33" spans="2:12" ht="15" customHeight="1" x14ac:dyDescent="0.2">
      <c r="B33" t="str">
        <f>'Data Sheet'!A57</f>
        <v>Equity Share Capital</v>
      </c>
      <c r="C33" s="50">
        <f>'Data Sheet'!B57/'Data Sheet'!B$61</f>
        <v>1.3758599124452783E-2</v>
      </c>
      <c r="D33" s="50">
        <f>'Data Sheet'!C57/'Data Sheet'!C$61</f>
        <v>1.3711577965695851E-2</v>
      </c>
      <c r="E33" s="50">
        <f>'Data Sheet'!D57/'Data Sheet'!D$61</f>
        <v>2.5813051649894132E-2</v>
      </c>
      <c r="F33" s="50">
        <f>'Data Sheet'!E57/'Data Sheet'!E$61</f>
        <v>2.3115468409586056E-2</v>
      </c>
      <c r="G33" s="50">
        <f>'Data Sheet'!F57/'Data Sheet'!F$61</f>
        <v>1.9756117978625445E-2</v>
      </c>
      <c r="H33" s="50">
        <f>'Data Sheet'!G57/'Data Sheet'!G$61</f>
        <v>1.7973254289850853E-2</v>
      </c>
      <c r="I33" s="50">
        <f>'Data Sheet'!H57/'Data Sheet'!H$61</f>
        <v>1.6605669523901249E-2</v>
      </c>
      <c r="J33" s="50">
        <f>'Data Sheet'!I57/'Data Sheet'!I$61</f>
        <v>1.5225702102631966E-2</v>
      </c>
      <c r="K33" s="50">
        <f>'Data Sheet'!J57/'Data Sheet'!J$61</f>
        <v>1.4026184918298995E-2</v>
      </c>
      <c r="L33" s="50">
        <f>'Data Sheet'!K57/'Data Sheet'!K$61</f>
        <v>1.3118324172975215E-2</v>
      </c>
    </row>
    <row r="34" spans="2:12" ht="15" customHeight="1" x14ac:dyDescent="0.2">
      <c r="B34" t="str">
        <f>'Data Sheet'!A58</f>
        <v>Reserves</v>
      </c>
      <c r="C34" s="50">
        <f>'Data Sheet'!B58/'Data Sheet'!B$61</f>
        <v>0.81587049598306638</v>
      </c>
      <c r="D34" s="50">
        <f>'Data Sheet'!C58/'Data Sheet'!C$61</f>
        <v>0.80448398845606117</v>
      </c>
      <c r="E34" s="50">
        <f>'Data Sheet'!D58/'Data Sheet'!D$61</f>
        <v>0.74677039468988649</v>
      </c>
      <c r="F34" s="50">
        <f>'Data Sheet'!E58/'Data Sheet'!E$61</f>
        <v>0.68984749455337691</v>
      </c>
      <c r="G34" s="50">
        <f>'Data Sheet'!F58/'Data Sheet'!F$61</f>
        <v>0.69041307401103147</v>
      </c>
      <c r="H34" s="50">
        <f>'Data Sheet'!G58/'Data Sheet'!G$61</f>
        <v>0.62753900059111278</v>
      </c>
      <c r="I34" s="50">
        <f>'Data Sheet'!H58/'Data Sheet'!H$61</f>
        <v>0.58860637580660691</v>
      </c>
      <c r="J34" s="50">
        <f>'Data Sheet'!I58/'Data Sheet'!I$61</f>
        <v>0.63259079547125419</v>
      </c>
      <c r="K34" s="50">
        <f>'Data Sheet'!J58/'Data Sheet'!J$61</f>
        <v>0.63429074055279266</v>
      </c>
      <c r="L34" s="50">
        <f>'Data Sheet'!K58/'Data Sheet'!K$61</f>
        <v>0.58869127864772375</v>
      </c>
    </row>
    <row r="35" spans="2:12" ht="15" customHeight="1" x14ac:dyDescent="0.2">
      <c r="B35" t="str">
        <f>'Data Sheet'!A59</f>
        <v>Borrowings</v>
      </c>
      <c r="C35" s="50">
        <f>'Data Sheet'!B59/'Data Sheet'!B$61</f>
        <v>0</v>
      </c>
      <c r="D35" s="50">
        <f>'Data Sheet'!C59/'Data Sheet'!C$61</f>
        <v>0</v>
      </c>
      <c r="E35" s="50">
        <f>'Data Sheet'!D59/'Data Sheet'!D$61</f>
        <v>0</v>
      </c>
      <c r="F35" s="50">
        <f>'Data Sheet'!E59/'Data Sheet'!E$61</f>
        <v>5.0468409586056646E-2</v>
      </c>
      <c r="G35" s="50">
        <f>'Data Sheet'!F59/'Data Sheet'!F$61</f>
        <v>4.9529815553757288E-2</v>
      </c>
      <c r="H35" s="50">
        <f>'Data Sheet'!G59/'Data Sheet'!G$61</f>
        <v>4.6894944700974051E-2</v>
      </c>
      <c r="I35" s="50">
        <f>'Data Sheet'!H59/'Data Sheet'!H$61</f>
        <v>6.6607274711868766E-2</v>
      </c>
      <c r="J35" s="50">
        <f>'Data Sheet'!I59/'Data Sheet'!I$61</f>
        <v>6.1454197912071754E-2</v>
      </c>
      <c r="K35" s="50">
        <f>'Data Sheet'!J59/'Data Sheet'!J$61</f>
        <v>5.566494130383301E-2</v>
      </c>
      <c r="L35" s="50">
        <f>'Data Sheet'!K59/'Data Sheet'!K$61</f>
        <v>5.9473192989733484E-2</v>
      </c>
    </row>
    <row r="36" spans="2:12" ht="15" customHeight="1" x14ac:dyDescent="0.2">
      <c r="B36" t="str">
        <f>'Data Sheet'!A60</f>
        <v>Other Liabilities</v>
      </c>
      <c r="C36" s="50">
        <f>'Data Sheet'!B60/'Data Sheet'!B$61</f>
        <v>0.17037090489248088</v>
      </c>
      <c r="D36" s="50">
        <f>'Data Sheet'!C60/'Data Sheet'!C$61</f>
        <v>0.18180443357824294</v>
      </c>
      <c r="E36" s="50">
        <f>'Data Sheet'!D60/'Data Sheet'!D$61</f>
        <v>0.22741655366021934</v>
      </c>
      <c r="F36" s="50">
        <f>'Data Sheet'!E60/'Data Sheet'!E$61</f>
        <v>0.2365686274509804</v>
      </c>
      <c r="G36" s="50">
        <f>'Data Sheet'!F60/'Data Sheet'!F$61</f>
        <v>0.24030099245658584</v>
      </c>
      <c r="H36" s="50">
        <f>'Data Sheet'!G60/'Data Sheet'!G$61</f>
        <v>0.30759280041806236</v>
      </c>
      <c r="I36" s="50">
        <f>'Data Sheet'!H60/'Data Sheet'!H$61</f>
        <v>0.32818067995762301</v>
      </c>
      <c r="J36" s="50">
        <f>'Data Sheet'!I60/'Data Sheet'!I$61</f>
        <v>0.29072930451404205</v>
      </c>
      <c r="K36" s="50">
        <f>'Data Sheet'!J60/'Data Sheet'!J$61</f>
        <v>0.29601813322507525</v>
      </c>
      <c r="L36" s="50">
        <f>'Data Sheet'!K60/'Data Sheet'!K$61</f>
        <v>0.33871720418956758</v>
      </c>
    </row>
    <row r="38" spans="2:12" ht="15" customHeight="1" x14ac:dyDescent="0.2">
      <c r="B38" s="54" t="s">
        <v>217</v>
      </c>
      <c r="C38" s="66">
        <f>'Data Sheet'!B76/'Data Sheet'!B$61</f>
        <v>1</v>
      </c>
      <c r="D38" s="66">
        <f>'Data Sheet'!C76/'Data Sheet'!C$61</f>
        <v>1</v>
      </c>
      <c r="E38" s="66">
        <f>'Data Sheet'!D76/'Data Sheet'!D$61</f>
        <v>1</v>
      </c>
      <c r="F38" s="66">
        <f>'Data Sheet'!E76/'Data Sheet'!E$61</f>
        <v>1</v>
      </c>
      <c r="G38" s="66">
        <f>'Data Sheet'!F76/'Data Sheet'!F$61</f>
        <v>1</v>
      </c>
      <c r="H38" s="66">
        <f>'Data Sheet'!G76/'Data Sheet'!G$61</f>
        <v>1</v>
      </c>
      <c r="I38" s="66">
        <f>'Data Sheet'!H76/'Data Sheet'!H$61</f>
        <v>1</v>
      </c>
      <c r="J38" s="66">
        <f>'Data Sheet'!I76/'Data Sheet'!I$61</f>
        <v>1</v>
      </c>
      <c r="K38" s="66">
        <f>'Data Sheet'!J76/'Data Sheet'!J$61</f>
        <v>1</v>
      </c>
      <c r="L38" s="66">
        <f>'Data Sheet'!K76/'Data Sheet'!K$61</f>
        <v>1</v>
      </c>
    </row>
    <row r="39" spans="2:12" ht="15" customHeight="1" x14ac:dyDescent="0.2">
      <c r="B39" t="str">
        <f>'Data Sheet'!A62</f>
        <v>Net Block</v>
      </c>
      <c r="C39" s="50">
        <f>'Data Sheet'!B62/'Data Sheet'!B$76</f>
        <v>0.1705272526098042</v>
      </c>
      <c r="D39" s="50">
        <f>'Data Sheet'!C62/'Data Sheet'!C$76</f>
        <v>0.15846450490869451</v>
      </c>
      <c r="E39" s="50">
        <f>'Data Sheet'!D62/'Data Sheet'!D$76</f>
        <v>0.18687697761282801</v>
      </c>
      <c r="F39" s="50">
        <f>'Data Sheet'!E62/'Data Sheet'!E$76</f>
        <v>0.25913943355119828</v>
      </c>
      <c r="G39" s="50">
        <f>'Data Sheet'!F62/'Data Sheet'!F$76</f>
        <v>0.23723153909832481</v>
      </c>
      <c r="H39" s="50">
        <f>'Data Sheet'!G62/'Data Sheet'!G$76</f>
        <v>0.22102476676746996</v>
      </c>
      <c r="I39" s="50">
        <f>'Data Sheet'!H62/'Data Sheet'!H$76</f>
        <v>0.23455809175254422</v>
      </c>
      <c r="J39" s="50">
        <f>'Data Sheet'!I62/'Data Sheet'!I$76</f>
        <v>0.20307307748860462</v>
      </c>
      <c r="K39" s="50">
        <f>'Data Sheet'!J62/'Data Sheet'!J$76</f>
        <v>0.20948611252072127</v>
      </c>
      <c r="L39" s="50">
        <f>'Data Sheet'!K62/'Data Sheet'!K$76</f>
        <v>0.21887638701648865</v>
      </c>
    </row>
    <row r="40" spans="2:12" ht="15" customHeight="1" x14ac:dyDescent="0.2">
      <c r="B40" t="str">
        <f>'Data Sheet'!A63</f>
        <v>Capital Work in Progress</v>
      </c>
      <c r="C40" s="50">
        <f>'Data Sheet'!B63/'Data Sheet'!B$76</f>
        <v>1.6416510318949345E-2</v>
      </c>
      <c r="D40" s="50">
        <f>'Data Sheet'!C63/'Data Sheet'!C$76</f>
        <v>2.0239700563334132E-2</v>
      </c>
      <c r="E40" s="50">
        <f>'Data Sheet'!D63/'Data Sheet'!D$76</f>
        <v>1.6510836723526753E-2</v>
      </c>
      <c r="F40" s="50">
        <f>'Data Sheet'!E63/'Data Sheet'!E$76</f>
        <v>1.0392156862745097E-2</v>
      </c>
      <c r="G40" s="50">
        <f>'Data Sheet'!F63/'Data Sheet'!F$76</f>
        <v>8.575866655505018E-3</v>
      </c>
      <c r="H40" s="50">
        <f>'Data Sheet'!G63/'Data Sheet'!G$76</f>
        <v>3.5638101928398254E-3</v>
      </c>
      <c r="I40" s="50">
        <f>'Data Sheet'!H63/'Data Sheet'!H$76</f>
        <v>2.3114706732158337E-3</v>
      </c>
      <c r="J40" s="50">
        <f>'Data Sheet'!I63/'Data Sheet'!I$76</f>
        <v>2.1540949860314662E-3</v>
      </c>
      <c r="K40" s="50">
        <f>'Data Sheet'!J63/'Data Sheet'!J$76</f>
        <v>5.5076288101762573E-3</v>
      </c>
      <c r="L40" s="50">
        <f>'Data Sheet'!K63/'Data Sheet'!K$76</f>
        <v>3.4092087524629265E-3</v>
      </c>
    </row>
    <row r="41" spans="2:12" ht="15" customHeight="1" x14ac:dyDescent="0.2">
      <c r="B41" t="str">
        <f>'Data Sheet'!A64</f>
        <v>Investments</v>
      </c>
      <c r="C41" s="50">
        <f>'Data Sheet'!B64/'Data Sheet'!B$76</f>
        <v>0.19751527396930774</v>
      </c>
      <c r="D41" s="50">
        <f>'Data Sheet'!C64/'Data Sheet'!C$76</f>
        <v>0.15328485551172669</v>
      </c>
      <c r="E41" s="50">
        <f>'Data Sheet'!D64/'Data Sheet'!D$76</f>
        <v>0.13395427402279161</v>
      </c>
      <c r="F41" s="50">
        <f>'Data Sheet'!E64/'Data Sheet'!E$76</f>
        <v>9.5773420479302832E-2</v>
      </c>
      <c r="G41" s="50">
        <f>'Data Sheet'!F64/'Data Sheet'!F$76</f>
        <v>0.13212601501241733</v>
      </c>
      <c r="H41" s="50">
        <f>'Data Sheet'!G64/'Data Sheet'!G$76</f>
        <v>0.17411268836364571</v>
      </c>
      <c r="I41" s="50">
        <f>'Data Sheet'!H64/'Data Sheet'!H$76</f>
        <v>0.15632925615589585</v>
      </c>
      <c r="J41" s="50">
        <f>'Data Sheet'!I64/'Data Sheet'!I$76</f>
        <v>0.18102484928686957</v>
      </c>
      <c r="K41" s="50">
        <f>'Data Sheet'!J64/'Data Sheet'!J$76</f>
        <v>0.15928143712574849</v>
      </c>
      <c r="L41" s="50">
        <f>'Data Sheet'!K64/'Data Sheet'!K$76</f>
        <v>0.1418127138857202</v>
      </c>
    </row>
    <row r="42" spans="2:12" ht="15" customHeight="1" x14ac:dyDescent="0.2">
      <c r="B42" t="str">
        <f>'Data Sheet'!A65</f>
        <v>Other Assets</v>
      </c>
      <c r="C42" s="50">
        <f>'Data Sheet'!B74/'Data Sheet'!B$76</f>
        <v>0.1952422186943763</v>
      </c>
      <c r="D42" s="50">
        <f>'Data Sheet'!C74/'Data Sheet'!C$76</f>
        <v>0.25263078299663511</v>
      </c>
      <c r="E42" s="50">
        <f>'Data Sheet'!D74/'Data Sheet'!D$76</f>
        <v>0.25351509528227822</v>
      </c>
      <c r="F42" s="50">
        <f>'Data Sheet'!E74/'Data Sheet'!E$76</f>
        <v>0.23016339869281047</v>
      </c>
      <c r="G42" s="50">
        <f>'Data Sheet'!F74/'Data Sheet'!F$76</f>
        <v>0.21273172047511418</v>
      </c>
      <c r="H42" s="50">
        <f>'Data Sheet'!G74/'Data Sheet'!G$76</f>
        <v>0.25716831292994885</v>
      </c>
      <c r="I42" s="50">
        <f>'Data Sheet'!H74/'Data Sheet'!H$76</f>
        <v>0.30504992134578957</v>
      </c>
      <c r="J42" s="50">
        <f>'Data Sheet'!I74/'Data Sheet'!I$76</f>
        <v>0.28306866637259226</v>
      </c>
      <c r="K42" s="50">
        <f>'Data Sheet'!J74/'Data Sheet'!J$76</f>
        <v>0.24944010284515714</v>
      </c>
      <c r="L42" s="50">
        <f>'Data Sheet'!K74/'Data Sheet'!K$76</f>
        <v>0.26364331639531269</v>
      </c>
    </row>
    <row r="43" spans="2:12" ht="15" customHeight="1" x14ac:dyDescent="0.2">
      <c r="B43" t="str">
        <f>'Data Sheet'!A67</f>
        <v>Receivables</v>
      </c>
      <c r="C43" s="50">
        <f>'Data Sheet'!B67/'Data Sheet'!B$76</f>
        <v>0.14819358252754125</v>
      </c>
      <c r="D43" s="50">
        <f>'Data Sheet'!C67/'Data Sheet'!C$76</f>
        <v>0.16562275517019748</v>
      </c>
      <c r="E43" s="50">
        <f>'Data Sheet'!D67/'Data Sheet'!D$76</f>
        <v>0.1763733257202674</v>
      </c>
      <c r="F43" s="50">
        <f>'Data Sheet'!E67/'Data Sheet'!E$76</f>
        <v>0.20138344226579522</v>
      </c>
      <c r="G43" s="50">
        <f>'Data Sheet'!F67/'Data Sheet'!F$76</f>
        <v>0.17946070634632735</v>
      </c>
      <c r="H43" s="50">
        <f>'Data Sheet'!G67/'Data Sheet'!G$76</f>
        <v>0.19445039364682298</v>
      </c>
      <c r="I43" s="50">
        <f>'Data Sheet'!H67/'Data Sheet'!H$76</f>
        <v>0.20405149442999776</v>
      </c>
      <c r="J43" s="50">
        <f>'Data Sheet'!I67/'Data Sheet'!I$76</f>
        <v>0.22197470960152918</v>
      </c>
      <c r="K43" s="50">
        <f>'Data Sheet'!J67/'Data Sheet'!J$76</f>
        <v>0.21081903988632902</v>
      </c>
      <c r="L43" s="50">
        <f>'Data Sheet'!K67/'Data Sheet'!K$76</f>
        <v>0.22836513533132843</v>
      </c>
    </row>
    <row r="44" spans="2:12" ht="15" customHeight="1" x14ac:dyDescent="0.2">
      <c r="B44" t="str">
        <f>'Data Sheet'!A68</f>
        <v>Inventory</v>
      </c>
      <c r="C44" s="50">
        <f>'Data Sheet'!B68/'Data Sheet'!B$76</f>
        <v>0</v>
      </c>
      <c r="D44" s="50">
        <f>'Data Sheet'!C68/'Data Sheet'!C$76</f>
        <v>0</v>
      </c>
      <c r="E44" s="50">
        <f>'Data Sheet'!D68/'Data Sheet'!D$76</f>
        <v>0</v>
      </c>
      <c r="F44" s="50">
        <f>'Data Sheet'!E68/'Data Sheet'!E$76</f>
        <v>0</v>
      </c>
      <c r="G44" s="50">
        <f>'Data Sheet'!F68/'Data Sheet'!F$76</f>
        <v>0</v>
      </c>
      <c r="H44" s="50">
        <f>'Data Sheet'!G68/'Data Sheet'!G$76</f>
        <v>0</v>
      </c>
      <c r="I44" s="50">
        <f>'Data Sheet'!H68/'Data Sheet'!H$76</f>
        <v>0</v>
      </c>
      <c r="J44" s="50">
        <f>'Data Sheet'!I68/'Data Sheet'!I$76</f>
        <v>0</v>
      </c>
      <c r="K44" s="50">
        <f>'Data Sheet'!J68/'Data Sheet'!J$76</f>
        <v>0</v>
      </c>
      <c r="L44" s="50">
        <f>'Data Sheet'!K68/'Data Sheet'!K$76</f>
        <v>0</v>
      </c>
    </row>
    <row r="45" spans="2:12" ht="15" customHeight="1" x14ac:dyDescent="0.2">
      <c r="B45" t="str">
        <f>'Data Sheet'!A69</f>
        <v>Cash &amp; Bank</v>
      </c>
      <c r="C45" s="50">
        <f>'Data Sheet'!B69/'Data Sheet'!B$76</f>
        <v>0.27210516188002115</v>
      </c>
      <c r="D45" s="50">
        <f>'Data Sheet'!C69/'Data Sheet'!C$76</f>
        <v>0.24975740084941209</v>
      </c>
      <c r="E45" s="50">
        <f>'Data Sheet'!D69/'Data Sheet'!D$76</f>
        <v>0.23276949063830799</v>
      </c>
      <c r="F45" s="50">
        <f>'Data Sheet'!E69/'Data Sheet'!E$76</f>
        <v>0.20314814814814816</v>
      </c>
      <c r="G45" s="50">
        <f>'Data Sheet'!F69/'Data Sheet'!F$76</f>
        <v>0.22987415241231129</v>
      </c>
      <c r="H45" s="50">
        <f>'Data Sheet'!G69/'Data Sheet'!G$76</f>
        <v>0.14968002809927267</v>
      </c>
      <c r="I45" s="50">
        <f>'Data Sheet'!H69/'Data Sheet'!H$76</f>
        <v>9.7699765642556738E-2</v>
      </c>
      <c r="J45" s="50">
        <f>'Data Sheet'!I69/'Data Sheet'!I$76</f>
        <v>0.10870460226437288</v>
      </c>
      <c r="K45" s="50">
        <f>'Data Sheet'!J69/'Data Sheet'!J$76</f>
        <v>0.1654656788118678</v>
      </c>
      <c r="L45" s="50">
        <f>'Data Sheet'!K69/'Data Sheet'!K$76</f>
        <v>0.14389323861868714</v>
      </c>
    </row>
  </sheetData>
  <mergeCells count="2">
    <mergeCell ref="B7:L7"/>
    <mergeCell ref="B28:L28"/>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B2:P41"/>
  <sheetViews>
    <sheetView showGridLines="0" topLeftCell="G1" zoomScale="90" zoomScaleNormal="90" workbookViewId="0">
      <pane ySplit="3" topLeftCell="A4" activePane="bottomLeft" state="frozen"/>
      <selection activeCell="G1" sqref="G1"/>
      <selection pane="bottomLeft" activeCell="T37" sqref="T37"/>
    </sheetView>
  </sheetViews>
  <sheetFormatPr baseColWidth="10" defaultColWidth="10.6640625" defaultRowHeight="15" x14ac:dyDescent="0.2"/>
  <cols>
    <col min="1" max="1" width="2.1640625" customWidth="1"/>
    <col min="2" max="2" width="24" customWidth="1"/>
    <col min="3" max="12" width="10.83203125" customWidth="1"/>
    <col min="13" max="13" width="2.33203125" customWidth="1"/>
    <col min="14" max="14" width="30.33203125" customWidth="1"/>
  </cols>
  <sheetData>
    <row r="2" spans="2:16" ht="15" customHeight="1" x14ac:dyDescent="0.2">
      <c r="B2" s="10" t="str">
        <f>"Ratio Analysis - "&amp;'Data Sheet'!B1</f>
        <v>Ratio Analysis - INFOSYS LTD</v>
      </c>
      <c r="C2" s="10"/>
      <c r="D2" s="10"/>
      <c r="E2" s="10"/>
      <c r="F2" s="10"/>
      <c r="G2" s="10"/>
      <c r="H2" s="10"/>
      <c r="I2" s="10"/>
      <c r="J2" s="10"/>
      <c r="K2" s="10"/>
      <c r="L2" s="10"/>
      <c r="M2" s="10"/>
      <c r="N2" s="10"/>
      <c r="O2" s="10"/>
      <c r="P2" s="10"/>
    </row>
    <row r="3" spans="2:16" ht="15" customHeight="1" x14ac:dyDescent="0.2">
      <c r="B3" s="32" t="s">
        <v>171</v>
      </c>
      <c r="C3" s="33">
        <f>'Data Sheet'!B16</f>
        <v>42825</v>
      </c>
      <c r="D3" s="33">
        <f>'Data Sheet'!C16</f>
        <v>43190</v>
      </c>
      <c r="E3" s="33">
        <f>'Data Sheet'!D16</f>
        <v>43555</v>
      </c>
      <c r="F3" s="33">
        <f>'Data Sheet'!E16</f>
        <v>43921</v>
      </c>
      <c r="G3" s="33">
        <f>'Data Sheet'!F16</f>
        <v>44286</v>
      </c>
      <c r="H3" s="33">
        <f>'Data Sheet'!G16</f>
        <v>44651</v>
      </c>
      <c r="I3" s="33">
        <f>'Data Sheet'!H16</f>
        <v>45016</v>
      </c>
      <c r="J3" s="33">
        <f>'Data Sheet'!I16</f>
        <v>45382</v>
      </c>
      <c r="K3" s="33">
        <f>'Data Sheet'!J16</f>
        <v>45747</v>
      </c>
      <c r="L3" s="33">
        <f>'Data Sheet'!K16</f>
        <v>46112</v>
      </c>
      <c r="M3" s="34"/>
      <c r="N3" s="72" t="s">
        <v>285</v>
      </c>
      <c r="O3" s="34" t="s">
        <v>286</v>
      </c>
      <c r="P3" s="34" t="s">
        <v>287</v>
      </c>
    </row>
    <row r="5" spans="2:16" ht="15" customHeight="1" x14ac:dyDescent="0.2">
      <c r="B5" s="73" t="s">
        <v>288</v>
      </c>
      <c r="C5" s="74" t="str">
        <f>IFERROR(HistoricalFS!C7,0)</f>
        <v>-</v>
      </c>
      <c r="D5" s="74">
        <f>IFERROR(HistoricalFS!D7,0)</f>
        <v>2.9758775772443125E-2</v>
      </c>
      <c r="E5" s="74">
        <f>IFERROR(HistoricalFS!E7,0)</f>
        <v>0.17232920223476356</v>
      </c>
      <c r="F5" s="74">
        <f>IFERROR(HistoricalFS!F7,0)</f>
        <v>9.8167523435137571E-2</v>
      </c>
      <c r="G5" s="74">
        <f>IFERROR(HistoricalFS!G7,0)</f>
        <v>0.10662951173574475</v>
      </c>
      <c r="H5" s="74">
        <f>IFERROR(HistoricalFS!H7,0)</f>
        <v>0.21069551715900947</v>
      </c>
      <c r="I5" s="74">
        <f>IFERROR(HistoricalFS!I7,0)</f>
        <v>0.20655864387829759</v>
      </c>
      <c r="J5" s="74">
        <f>IFERROR(HistoricalFS!J7,0)</f>
        <v>4.7033733741236095E-2</v>
      </c>
      <c r="K5" s="74">
        <f>IFERROR(HistoricalFS!K7,0)</f>
        <v>6.0649443612936782E-2</v>
      </c>
      <c r="L5" s="75">
        <f>IFERROR(HistoricalFS!L7,0)</f>
        <v>9.6079514080618544E-2</v>
      </c>
      <c r="M5" s="76"/>
      <c r="O5" s="75">
        <f>IFERROR(AVERAGE(D5:L5),0)</f>
        <v>0.11421131840557638</v>
      </c>
      <c r="P5" s="75">
        <f>IFERROR(MEDIAN(C5:L5),0)</f>
        <v>9.8167523435137571E-2</v>
      </c>
    </row>
    <row r="6" spans="2:16" ht="15" customHeight="1" x14ac:dyDescent="0.2">
      <c r="B6" t="s">
        <v>289</v>
      </c>
      <c r="D6" s="50">
        <f>IFERROR(HistoricalFS!D18/HistoricalFS!C18-1,0)</f>
        <v>1.1717910126854525E-2</v>
      </c>
      <c r="E6" s="50">
        <f>IFERROR(HistoricalFS!E18/HistoricalFS!D18-1,0)</f>
        <v>7.1618318988417862E-2</v>
      </c>
      <c r="F6" s="50">
        <f>IFERROR(HistoricalFS!F18/HistoricalFS!E18-1,0)</f>
        <v>0.10396628656420437</v>
      </c>
      <c r="G6" s="50">
        <f>IFERROR(HistoricalFS!G18/HistoricalFS!F18-1,0)</f>
        <v>0.25248125028068436</v>
      </c>
      <c r="H6" s="50">
        <f>IFERROR(HistoricalFS!H18/HistoricalFS!G18-1,0)</f>
        <v>0.12915486392484499</v>
      </c>
      <c r="I6" s="50">
        <f>IFERROR(HistoricalFS!I18/HistoricalFS!H18-1,0)</f>
        <v>0.1155568257597408</v>
      </c>
      <c r="J6" s="50">
        <f>IFERROR(HistoricalFS!J18/HistoricalFS!I18-1,0)</f>
        <v>3.6863079988613823E-2</v>
      </c>
      <c r="K6" s="50">
        <f>IFERROR(HistoricalFS!K18/HistoricalFS!J18-1,0)</f>
        <v>7.7172271791352109E-2</v>
      </c>
      <c r="L6" s="50">
        <f>IFERROR(HistoricalFS!L18/HistoricalFS!K18-1,0)</f>
        <v>7.758181262106234E-2</v>
      </c>
      <c r="O6" s="50">
        <f>IFERROR(AVERAGE(D6:L6),0)</f>
        <v>9.7345846671752792E-2</v>
      </c>
      <c r="P6" s="50">
        <f>IFERROR(MEDIAN(C6:L6),0)</f>
        <v>7.758181262106234E-2</v>
      </c>
    </row>
    <row r="7" spans="2:16" ht="15" customHeight="1" x14ac:dyDescent="0.2">
      <c r="B7" t="s">
        <v>290</v>
      </c>
      <c r="D7" s="50">
        <f>IFERROR(HistoricalFS!D27/HistoricalFS!C27-1,0)</f>
        <v>3.4317496006153192E-3</v>
      </c>
      <c r="E7" s="50">
        <f>IFERROR(HistoricalFS!E27/HistoricalFS!D27-1,0)</f>
        <v>7.0758889085441368E-2</v>
      </c>
      <c r="F7" s="50">
        <f>IFERROR(HistoricalFS!F27/HistoricalFS!E27-1,0)</f>
        <v>5.7547221763313061E-2</v>
      </c>
      <c r="G7" s="50">
        <f>IFERROR(HistoricalFS!G27/HistoricalFS!F27-1,0)</f>
        <v>0.27197458862736923</v>
      </c>
      <c r="H7" s="50">
        <f>IFERROR(HistoricalFS!H27/HistoricalFS!G27-1,0)</f>
        <v>0.13869898063618136</v>
      </c>
      <c r="I7" s="50">
        <f>IFERROR(HistoricalFS!I27/HistoricalFS!H27-1,0)</f>
        <v>0.10088081970159979</v>
      </c>
      <c r="J7" s="50">
        <f>IFERROR(HistoricalFS!J27/HistoricalFS!I27-1,0)</f>
        <v>2.1423206296332653E-2</v>
      </c>
      <c r="K7" s="50">
        <f>IFERROR(HistoricalFS!K27/HistoricalFS!J27-1,0)</f>
        <v>8.7316558493461649E-2</v>
      </c>
      <c r="L7" s="50">
        <f>IFERROR(HistoricalFS!L27/HistoricalFS!K27-1,0)</f>
        <v>8.6861914843566312E-2</v>
      </c>
      <c r="O7" s="50">
        <f>IFERROR(AVERAGE(D7:L7),0)</f>
        <v>9.3210436560875631E-2</v>
      </c>
      <c r="P7" s="50">
        <f>IFERROR(MEDIAN(C7:L7),0)</f>
        <v>8.6861914843566312E-2</v>
      </c>
    </row>
    <row r="8" spans="2:16" ht="15" customHeight="1" x14ac:dyDescent="0.2">
      <c r="B8" t="s">
        <v>291</v>
      </c>
      <c r="D8" s="50">
        <f>IFERROR((HistoricalFS!D33/ABS(HistoricalFS!C33))-1,0)</f>
        <v>0.12518800318499523</v>
      </c>
      <c r="E8" s="50">
        <f>IFERROR(HistoricalFS!E33/HistoricalFS!D33-1,0)</f>
        <v>-1.4939455889290798E-2</v>
      </c>
      <c r="F8" s="50">
        <f>IFERROR(HistoricalFS!F33/HistoricalFS!E33-1,0)</f>
        <v>0.10440613026819934</v>
      </c>
      <c r="G8" s="50">
        <f>IFERROR(HistoricalFS!G33/HistoricalFS!F33-1,0)</f>
        <v>0.24472390864411686</v>
      </c>
      <c r="H8" s="50">
        <f>IFERROR(HistoricalFS!H33/HistoricalFS!G33-1,0)</f>
        <v>0.15265358262687267</v>
      </c>
      <c r="I8" s="50">
        <f>IFERROR(HistoricalFS!I33/HistoricalFS!H33-1,0)</f>
        <v>7.8383960505767902E-2</v>
      </c>
      <c r="J8" s="50">
        <f>IFERROR(HistoricalFS!J33/HistoricalFS!I33-1,0)</f>
        <v>6.0727799317981113E-3</v>
      </c>
      <c r="K8" s="50">
        <f>IFERROR(HistoricalFS!K33/HistoricalFS!J33-1,0)</f>
        <v>7.4894367832102793E-2</v>
      </c>
      <c r="L8" s="50">
        <f>IFERROR(HistoricalFS!L33/HistoricalFS!K33-1,0)</f>
        <v>0.14215982721382292</v>
      </c>
      <c r="O8" s="50">
        <f>IFERROR(AVERAGE(D8:L8),0)</f>
        <v>0.10150478936870945</v>
      </c>
      <c r="P8" s="50">
        <f>IFERROR(MEDIAN(C8:L8),0)</f>
        <v>0.10440613026819934</v>
      </c>
    </row>
    <row r="9" spans="2:16" ht="15" customHeight="1" x14ac:dyDescent="0.2">
      <c r="B9" s="77" t="s">
        <v>292</v>
      </c>
      <c r="C9" s="77"/>
      <c r="D9" s="78">
        <f>IFERROR(HistoricalFS!D41/HistoricalFS!C41-1,0)</f>
        <v>0.68963896853592144</v>
      </c>
      <c r="E9" s="78">
        <f>IFERROR(HistoricalFS!E41/HistoricalFS!D41-1,0)</f>
        <v>-2.5838579728767352E-2</v>
      </c>
      <c r="F9" s="78">
        <f>IFERROR(HistoricalFS!F41/HistoricalFS!E41-1,0)</f>
        <v>-0.17390646350868544</v>
      </c>
      <c r="G9" s="78">
        <f>IFERROR(HistoricalFS!G41/HistoricalFS!F41-1,0)</f>
        <v>0.54369512340846549</v>
      </c>
      <c r="H9" s="78">
        <f>IFERROR(HistoricalFS!H41/HistoricalFS!G41-1,0)</f>
        <v>0.14865158399694378</v>
      </c>
      <c r="I9" s="78">
        <f>IFERROR(HistoricalFS!I41/HistoricalFS!H41-1,0)</f>
        <v>9.6761529392781709E-2</v>
      </c>
      <c r="J9" s="78">
        <f>IFERROR(HistoricalFS!J41/HistoricalFS!I41-1,0)</f>
        <v>0.35349861290755547</v>
      </c>
      <c r="K9" s="78">
        <f>IFERROR(HistoricalFS!K41/HistoricalFS!J41-1,0)</f>
        <v>-6.4855345095345629E-2</v>
      </c>
      <c r="L9" s="79">
        <f>IFERROR(HistoricalFS!L41/HistoricalFS!K41-1,0)</f>
        <v>0.11614900276192253</v>
      </c>
      <c r="M9" s="80"/>
      <c r="O9" s="79">
        <f>IFERROR(AVERAGE(D9:L9),0)</f>
        <v>0.18708827029675468</v>
      </c>
      <c r="P9" s="79">
        <f>IFERROR(MEDIAN(C9:L9),0)</f>
        <v>0.11614900276192253</v>
      </c>
    </row>
    <row r="10" spans="2:16" ht="15" customHeight="1" x14ac:dyDescent="0.2">
      <c r="P10" s="50"/>
    </row>
    <row r="11" spans="2:16" ht="15" customHeight="1" x14ac:dyDescent="0.2">
      <c r="B11" s="73" t="s">
        <v>293</v>
      </c>
      <c r="C11" s="74">
        <f>IFERROR(HistoricalFS!C13,0)</f>
        <v>0.34862157584253256</v>
      </c>
      <c r="D11" s="74">
        <f>IFERROR(HistoricalFS!D13,0)</f>
        <v>0.34212018944442868</v>
      </c>
      <c r="E11" s="74">
        <f>IFERROR(HistoricalFS!E13,0)</f>
        <v>0.32934986392500754</v>
      </c>
      <c r="F11" s="74">
        <f>IFERROR(HistoricalFS!F13,0)</f>
        <v>0.31479992510270843</v>
      </c>
      <c r="G11" s="74">
        <f>IFERROR(HistoricalFS!G13,0)</f>
        <v>0.31831754120550998</v>
      </c>
      <c r="H11" s="74">
        <f>IFERROR(HistoricalFS!H13,0)</f>
        <v>0.30271043480405457</v>
      </c>
      <c r="I11" s="74">
        <f>IFERROR(HistoricalFS!I13,0)</f>
        <v>0.28539794367943749</v>
      </c>
      <c r="J11" s="74">
        <f>IFERROR(HistoricalFS!J13,0)</f>
        <v>0.28398516301164833</v>
      </c>
      <c r="K11" s="74">
        <f>IFERROR(HistoricalFS!K13,0)</f>
        <v>0.2847107184489846</v>
      </c>
      <c r="L11" s="81">
        <f>IFERROR(HistoricalFS!L13,0)</f>
        <v>0.28207668625804644</v>
      </c>
      <c r="M11" s="82"/>
      <c r="O11" s="81">
        <f>IFERROR(AVERAGE(C11:L11),0)</f>
        <v>0.30920900417223585</v>
      </c>
      <c r="P11" s="81">
        <f>IFERROR(MEDIAN(C11:L11),0)</f>
        <v>0.30875517995338153</v>
      </c>
    </row>
    <row r="12" spans="2:16" ht="15" customHeight="1" x14ac:dyDescent="0.2">
      <c r="B12" t="s">
        <v>294</v>
      </c>
      <c r="C12" s="50">
        <f>IFERROR(HistoricalFS!C19,0)</f>
        <v>0.27165469306699375</v>
      </c>
      <c r="D12" s="50">
        <f>IFERROR(HistoricalFS!D19,0)</f>
        <v>0.26689543688494372</v>
      </c>
      <c r="E12" s="50">
        <f>IFERROR(HistoricalFS!E19,0)</f>
        <v>0.24396734200181433</v>
      </c>
      <c r="F12" s="50">
        <f>IFERROR(HistoricalFS!F19,0)</f>
        <v>0.24525558700752279</v>
      </c>
      <c r="G12" s="50">
        <f>IFERROR(HistoricalFS!G19,0)</f>
        <v>0.27757982323433394</v>
      </c>
      <c r="H12" s="50">
        <f>IFERROR(HistoricalFS!H19,0)</f>
        <v>0.25888475102966929</v>
      </c>
      <c r="I12" s="50">
        <f>IFERROR(HistoricalFS!I19,0)</f>
        <v>0.23935898396778568</v>
      </c>
      <c r="J12" s="50">
        <f>IFERROR(HistoricalFS!J19,0)</f>
        <v>0.23703390381987374</v>
      </c>
      <c r="K12" s="50">
        <f>IFERROR(HistoricalFS!K19,0)</f>
        <v>0.24072642493404503</v>
      </c>
      <c r="L12" s="50">
        <f>IFERROR(HistoricalFS!L19,0)</f>
        <v>0.23666386789812482</v>
      </c>
      <c r="O12" s="50">
        <f>IFERROR(AVERAGE(C12:L12),0)</f>
        <v>0.25180208138451071</v>
      </c>
      <c r="P12" s="50">
        <f>IFERROR(MEDIAN(C12:L12),0)</f>
        <v>0.24461146450466856</v>
      </c>
    </row>
    <row r="13" spans="2:16" ht="15" customHeight="1" x14ac:dyDescent="0.2">
      <c r="B13" t="s">
        <v>295</v>
      </c>
      <c r="C13" s="50">
        <f>IFERROR((HistoricalFS!C18-HistoricalFS!C24)/HistoricalFS!C6,0)</f>
        <v>0.24678757081946148</v>
      </c>
      <c r="D13" s="50">
        <f>IFERROR((HistoricalFS!D18-HistoricalFS!D24)/HistoricalFS!D6,0)</f>
        <v>0.24047814866282863</v>
      </c>
      <c r="E13" s="50">
        <f>IFERROR((HistoricalFS!E18-HistoricalFS!E24)/HistoricalFS!E6,0)</f>
        <v>0.2196431811309344</v>
      </c>
      <c r="F13" s="50">
        <f>IFERROR((HistoricalFS!F18-HistoricalFS!F24)/HistoricalFS!F6,0)</f>
        <v>0.21339119516251612</v>
      </c>
      <c r="G13" s="50">
        <f>IFERROR((HistoricalFS!G18-HistoricalFS!G24)/HistoricalFS!G6,0)</f>
        <v>0.24506330121824987</v>
      </c>
      <c r="H13" s="50">
        <f>IFERROR((HistoricalFS!H18-HistoricalFS!H24)/HistoricalFS!H6,0)</f>
        <v>0.23030885967724699</v>
      </c>
      <c r="I13" s="50">
        <f>IFERROR((HistoricalFS!I18-HistoricalFS!I24)/HistoricalFS!I6,0)</f>
        <v>0.21057185879659596</v>
      </c>
      <c r="J13" s="50">
        <f>IFERROR((HistoricalFS!J18-HistoricalFS!J24)/HistoricalFS!J6,0)</f>
        <v>0.20659204789483959</v>
      </c>
      <c r="K13" s="50">
        <f>IFERROR((HistoricalFS!K18-HistoricalFS!K24)/HistoricalFS!K6,0)</f>
        <v>0.21120314129701209</v>
      </c>
      <c r="L13" s="50">
        <f>IFERROR((HistoricalFS!L18-HistoricalFS!L24)/HistoricalFS!L6,0)</f>
        <v>0.20922474111390987</v>
      </c>
      <c r="O13" s="50">
        <f>IFERROR(AVERAGE(C13:L13),0)</f>
        <v>0.22332640457735947</v>
      </c>
      <c r="P13" s="50">
        <f>IFERROR(MEDIAN(C13:L13),0)</f>
        <v>0.21651718814672527</v>
      </c>
    </row>
    <row r="14" spans="2:16" ht="15" customHeight="1" x14ac:dyDescent="0.2">
      <c r="B14" t="s">
        <v>296</v>
      </c>
      <c r="C14" s="50">
        <f>IFERROR(HistoricalFS!C28,0)</f>
        <v>0.24678757081946148</v>
      </c>
      <c r="D14" s="50">
        <f>IFERROR(HistoricalFS!D28,0)</f>
        <v>0.24047814866282863</v>
      </c>
      <c r="E14" s="50">
        <f>IFERROR(HistoricalFS!E28,0)</f>
        <v>0.2196431811309344</v>
      </c>
      <c r="F14" s="50">
        <f>IFERROR(HistoricalFS!F28,0)</f>
        <v>0.211518762872972</v>
      </c>
      <c r="G14" s="50">
        <f>IFERROR(HistoricalFS!G28,0)</f>
        <v>0.24312246197945697</v>
      </c>
      <c r="H14" s="50">
        <f>IFERROR(HistoricalFS!H28,0)</f>
        <v>0.2286646772058763</v>
      </c>
      <c r="I14" s="50">
        <f>IFERROR(HistoricalFS!I28,0)</f>
        <v>0.20863681890343197</v>
      </c>
      <c r="J14" s="50">
        <f>IFERROR(HistoricalFS!J28,0)</f>
        <v>0.20353354591006703</v>
      </c>
      <c r="K14" s="50">
        <f>IFERROR(HistoricalFS!K28,0)</f>
        <v>0.20865083747469171</v>
      </c>
      <c r="L14" s="50">
        <f>IFERROR(HistoricalFS!L28,0)</f>
        <v>0.20689616568709768</v>
      </c>
      <c r="O14" s="50">
        <f>IFERROR(AVERAGE(C14:L14),0)</f>
        <v>0.22179321706468183</v>
      </c>
      <c r="P14" s="50">
        <f>IFERROR(MEDIAN(C14:L14),0)</f>
        <v>0.2155809720019532</v>
      </c>
    </row>
    <row r="15" spans="2:16" ht="15" customHeight="1" x14ac:dyDescent="0.2">
      <c r="B15" s="77" t="s">
        <v>297</v>
      </c>
      <c r="C15" s="78">
        <f>IFERROR(HistoricalFS!C34,0)</f>
        <v>0.16504585012557677</v>
      </c>
      <c r="D15" s="78">
        <f>IFERROR(HistoricalFS!D34,0)</f>
        <v>0.18034088653186239</v>
      </c>
      <c r="E15" s="78">
        <f>IFERROR(HistoricalFS!E34,0)</f>
        <v>0.1515331115814938</v>
      </c>
      <c r="F15" s="78">
        <f>IFERROR(HistoricalFS!F34,0)</f>
        <v>0.15239395975372008</v>
      </c>
      <c r="G15" s="78">
        <f>IFERROR(HistoricalFS!G34,0)</f>
        <v>0.17141094036149376</v>
      </c>
      <c r="H15" s="78">
        <f>IFERROR(HistoricalFS!H34,0)</f>
        <v>0.16319333119589613</v>
      </c>
      <c r="I15" s="78">
        <f>IFERROR(HistoricalFS!I34,0)</f>
        <v>0.14585703870761138</v>
      </c>
      <c r="J15" s="78">
        <f>IFERROR(HistoricalFS!J34,0)</f>
        <v>0.14015097286392919</v>
      </c>
      <c r="K15" s="78">
        <f>IFERROR(HistoricalFS!K34,0)</f>
        <v>0.14203325357383889</v>
      </c>
      <c r="L15" s="83">
        <f>IFERROR(HistoricalFS!L34,0)</f>
        <v>0.14800447802966696</v>
      </c>
      <c r="M15" s="84"/>
      <c r="O15" s="83">
        <f>IFERROR(AVERAGE(C15:L15),0)</f>
        <v>0.15599638227250895</v>
      </c>
      <c r="P15" s="83">
        <f>IFERROR(MEDIAN(C15:L15),0)</f>
        <v>0.15196353566760695</v>
      </c>
    </row>
    <row r="16" spans="2:16" ht="15" customHeight="1" x14ac:dyDescent="0.2">
      <c r="O16" s="50"/>
      <c r="P16" s="50"/>
    </row>
    <row r="17" spans="2:16" ht="15" customHeight="1" x14ac:dyDescent="0.2">
      <c r="B17" s="73" t="s">
        <v>298</v>
      </c>
      <c r="C17" s="74">
        <f>IFERROR(HistoricalFS!C16,0)</f>
        <v>7.6966882775538814E-2</v>
      </c>
      <c r="D17" s="74">
        <f>IFERROR(HistoricalFS!D16,0)</f>
        <v>7.5224752559484978E-2</v>
      </c>
      <c r="E17" s="74">
        <f>IFERROR(HistoricalFS!E16,0)</f>
        <v>8.5382521923193233E-2</v>
      </c>
      <c r="F17" s="74">
        <f>IFERROR(HistoricalFS!F16,0)</f>
        <v>6.9544338095185648E-2</v>
      </c>
      <c r="G17" s="74">
        <f>IFERROR(HistoricalFS!G16,0)</f>
        <v>4.0737717971176049E-2</v>
      </c>
      <c r="H17" s="74">
        <f>IFERROR(HistoricalFS!H16,0)</f>
        <v>4.3825683774385282E-2</v>
      </c>
      <c r="I17" s="74">
        <f>IFERROR(HistoricalFS!I16,0)</f>
        <v>4.6038959711651804E-2</v>
      </c>
      <c r="J17" s="74">
        <f>IFERROR(HistoricalFS!J16,0)</f>
        <v>4.6951259191774584E-2</v>
      </c>
      <c r="K17" s="74">
        <f>IFERROR(HistoricalFS!K16,0)</f>
        <v>4.3984293514939564E-2</v>
      </c>
      <c r="L17" s="81">
        <f>IFERROR(HistoricalFS!L16,0)</f>
        <v>4.5412818359921635E-2</v>
      </c>
      <c r="M17" s="82"/>
      <c r="O17" s="81">
        <f>IFERROR(AVERAGE(C17:L17),0)</f>
        <v>5.7406922787725148E-2</v>
      </c>
      <c r="P17" s="81">
        <f>IFERROR(MEDIAN(C17:L17),0)</f>
        <v>4.6495109451713194E-2</v>
      </c>
    </row>
    <row r="18" spans="2:16" ht="15" customHeight="1" x14ac:dyDescent="0.2">
      <c r="B18" t="s">
        <v>299</v>
      </c>
      <c r="C18" s="50">
        <f>IFERROR(HistoricalFS!C25,0)</f>
        <v>2.4867122247532271E-2</v>
      </c>
      <c r="D18" s="50">
        <f>IFERROR(HistoricalFS!D25,0)</f>
        <v>2.6417288222115084E-2</v>
      </c>
      <c r="E18" s="50">
        <f>IFERROR(HistoricalFS!E25,0)</f>
        <v>2.4324160870879952E-2</v>
      </c>
      <c r="F18" s="50">
        <f>IFERROR(HistoricalFS!F25,0)</f>
        <v>3.1864391845006661E-2</v>
      </c>
      <c r="G18" s="50">
        <f>IFERROR(HistoricalFS!G25,0)</f>
        <v>3.2516522016084085E-2</v>
      </c>
      <c r="H18" s="50">
        <f>IFERROR(HistoricalFS!H25,0)</f>
        <v>2.8575891352422292E-2</v>
      </c>
      <c r="I18" s="50">
        <f>IFERROR(HistoricalFS!I25,0)</f>
        <v>2.8787125171189708E-2</v>
      </c>
      <c r="J18" s="50">
        <f>IFERROR(HistoricalFS!J25,0)</f>
        <v>3.0441855925034164E-2</v>
      </c>
      <c r="K18" s="50">
        <f>IFERROR(HistoricalFS!K25,0)</f>
        <v>2.9523283637032948E-2</v>
      </c>
      <c r="L18" s="50">
        <f>IFERROR(HistoricalFS!L25,0)</f>
        <v>2.7439126784214944E-2</v>
      </c>
      <c r="O18" s="50">
        <f>IFERROR(AVERAGE(C18:L18),0)</f>
        <v>2.8475676807151205E-2</v>
      </c>
      <c r="P18" s="50">
        <f>IFERROR(MEDIAN(C18:L18),0)</f>
        <v>2.8681508261806002E-2</v>
      </c>
    </row>
    <row r="19" spans="2:16" ht="15" customHeight="1" x14ac:dyDescent="0.2">
      <c r="B19" s="77" t="s">
        <v>300</v>
      </c>
      <c r="C19" s="78">
        <f t="shared" ref="C19:L19" si="0">C13</f>
        <v>0.24678757081946148</v>
      </c>
      <c r="D19" s="78">
        <f t="shared" si="0"/>
        <v>0.24047814866282863</v>
      </c>
      <c r="E19" s="78">
        <f t="shared" si="0"/>
        <v>0.2196431811309344</v>
      </c>
      <c r="F19" s="78">
        <f t="shared" si="0"/>
        <v>0.21339119516251612</v>
      </c>
      <c r="G19" s="78">
        <f t="shared" si="0"/>
        <v>0.24506330121824987</v>
      </c>
      <c r="H19" s="78">
        <f t="shared" si="0"/>
        <v>0.23030885967724699</v>
      </c>
      <c r="I19" s="78">
        <f t="shared" si="0"/>
        <v>0.21057185879659596</v>
      </c>
      <c r="J19" s="78">
        <f t="shared" si="0"/>
        <v>0.20659204789483959</v>
      </c>
      <c r="K19" s="78">
        <f t="shared" si="0"/>
        <v>0.21120314129701209</v>
      </c>
      <c r="L19" s="83">
        <f t="shared" si="0"/>
        <v>0.20922474111390987</v>
      </c>
      <c r="M19" s="84"/>
      <c r="O19" s="83">
        <f>IFERROR(AVERAGE(C19:L19),0)</f>
        <v>0.22332640457735947</v>
      </c>
      <c r="P19" s="83">
        <f>IFERROR(MEDIAN(C19:L19),0)</f>
        <v>0.21651718814672527</v>
      </c>
    </row>
    <row r="20" spans="2:16" ht="15" customHeight="1" x14ac:dyDescent="0.2">
      <c r="O20" s="50"/>
      <c r="P20" s="50"/>
    </row>
    <row r="21" spans="2:16" ht="15" customHeight="1" x14ac:dyDescent="0.2">
      <c r="B21" s="73" t="s">
        <v>301</v>
      </c>
      <c r="C21" s="74">
        <f>IFERROR((HistoricalFS!C18-HistoricalFS!C24)/(SUM(HistoricalFS!C47:C49)),0)</f>
        <v>0.24500594357948449</v>
      </c>
      <c r="D21" s="74">
        <f>IFERROR((HistoricalFS!D18-HistoricalFS!D24)/(SUM(HistoricalFS!D47:D49)),0)</f>
        <v>0.26121713414352388</v>
      </c>
      <c r="E21" s="74">
        <f>IFERROR((HistoricalFS!E18-HistoricalFS!E24)/(SUM(HistoricalFS!E47:E49)),0)</f>
        <v>0.27959290509330542</v>
      </c>
      <c r="F21" s="74">
        <f>IFERROR((HistoricalFS!F18-HistoricalFS!F24)/(SUM(HistoricalFS!F47:F49)),0)</f>
        <v>0.27644364539189248</v>
      </c>
      <c r="G21" s="74">
        <f>IFERROR((HistoricalFS!G18-HistoricalFS!G24)/(SUM(HistoricalFS!G47:G49)),0)</f>
        <v>0.30145942504530093</v>
      </c>
      <c r="H21" s="74">
        <f>IFERROR((HistoricalFS!H18-HistoricalFS!H24)/(SUM(HistoricalFS!H47:H49)),0)</f>
        <v>0.34661734138374739</v>
      </c>
      <c r="I21" s="74">
        <f>IFERROR((HistoricalFS!I18-HistoricalFS!I24)/(SUM(HistoricalFS!I47:I49)),0)</f>
        <v>0.36920889780899818</v>
      </c>
      <c r="J21" s="74">
        <f>IFERROR((HistoricalFS!J18-HistoricalFS!J24)/(SUM(HistoricalFS!J47:J49)),0)</f>
        <v>0.32906970717802542</v>
      </c>
      <c r="K21" s="74">
        <f>IFERROR((HistoricalFS!K18-HistoricalFS!K24)/(SUM(HistoricalFS!K47:K49)),0)</f>
        <v>0.33085684079004279</v>
      </c>
      <c r="L21" s="81">
        <f>IFERROR((HistoricalFS!L18-HistoricalFS!L24)/(SUM(HistoricalFS!L47:L49)),0)</f>
        <v>0.36635041361194964</v>
      </c>
      <c r="M21" s="82"/>
      <c r="O21" s="81">
        <f>IFERROR(AVERAGE(C21:L21),0)</f>
        <v>0.31058222540262709</v>
      </c>
      <c r="P21" s="81">
        <f>IFERROR(MEDIAN(C21:L21),0)</f>
        <v>0.3152645661116632</v>
      </c>
    </row>
    <row r="22" spans="2:16" ht="15" customHeight="1" x14ac:dyDescent="0.2">
      <c r="B22" t="s">
        <v>302</v>
      </c>
      <c r="C22" s="50">
        <f>IFERROR(HistoricalFS!C44,0)</f>
        <v>0.47875785189772624</v>
      </c>
      <c r="D22" s="50">
        <f>IFERROR(HistoricalFS!D44,0)</f>
        <v>0.25573203333857519</v>
      </c>
      <c r="E22" s="50">
        <f>IFERROR(HistoricalFS!E44,0)</f>
        <v>0.26384897828863341</v>
      </c>
      <c r="F22" s="50">
        <f>IFERROR(HistoricalFS!F44,0)</f>
        <v>0.46321191095692393</v>
      </c>
      <c r="G22" s="50">
        <f>IFERROR(HistoricalFS!G44,0)</f>
        <v>0.33401463244687024</v>
      </c>
      <c r="H22" s="50">
        <f>IFERROR(HistoricalFS!H44,0)</f>
        <v>0.3447383003375144</v>
      </c>
      <c r="I22" s="50">
        <f>IFERROR(HistoricalFS!I44,0)</f>
        <v>0.34277572756574948</v>
      </c>
      <c r="J22" s="50">
        <f>IFERROR(HistoricalFS!J44,0)</f>
        <v>0.1153271114825648</v>
      </c>
      <c r="K22" s="50">
        <f>IFERROR(HistoricalFS!K44,0)</f>
        <v>0.22990064794816423</v>
      </c>
      <c r="L22" s="50">
        <f>IFERROR(HistoricalFS!L44,0)</f>
        <v>0.26514125789493581</v>
      </c>
      <c r="O22" s="50">
        <f>IFERROR(AVERAGE(C22:L22),0)</f>
        <v>0.30934484521576577</v>
      </c>
      <c r="P22" s="50">
        <f>IFERROR(MEDIAN(C22:L22),0)</f>
        <v>0.29957794517090303</v>
      </c>
    </row>
    <row r="23" spans="2:16" ht="15" customHeight="1" x14ac:dyDescent="0.2">
      <c r="B23" t="s">
        <v>303</v>
      </c>
      <c r="C23" s="50">
        <f>IFERROR(HistoricalFS!C33/SUM(HistoricalFS!C47:C48),0)</f>
        <v>0.16385433881302369</v>
      </c>
      <c r="D23" s="50">
        <f>IFERROR(HistoricalFS!D33/SUM(HistoricalFS!D47:D48),0)</f>
        <v>0.19589359703032824</v>
      </c>
      <c r="E23" s="50">
        <f>IFERROR(HistoricalFS!E33/SUM(HistoricalFS!E47:E48),0)</f>
        <v>0.1928927757590688</v>
      </c>
      <c r="F23" s="50">
        <f>IFERROR(HistoricalFS!F33/SUM(HistoricalFS!F47:F48),0)</f>
        <v>0.21139801375095493</v>
      </c>
      <c r="G23" s="50">
        <f>IFERROR(HistoricalFS!G33/SUM(HistoricalFS!G47:G48),0)</f>
        <v>0.22556351586750664</v>
      </c>
      <c r="H23" s="50">
        <f>IFERROR(HistoricalFS!H33/SUM(HistoricalFS!H47:H48),0)</f>
        <v>0.26345056403450562</v>
      </c>
      <c r="I23" s="50">
        <f>IFERROR(HistoricalFS!I33/SUM(HistoricalFS!I47:I48),0)</f>
        <v>0.28388611136897107</v>
      </c>
      <c r="J23" s="50">
        <f>IFERROR(HistoricalFS!J33/SUM(HistoricalFS!J47:J48),0)</f>
        <v>0.24441645104180854</v>
      </c>
      <c r="K23" s="50">
        <f>IFERROR(HistoricalFS!K33/SUM(HistoricalFS!K47:K48),0)</f>
        <v>0.24160387401114614</v>
      </c>
      <c r="L23" s="50">
        <f>IFERROR(HistoricalFS!L33/SUM(HistoricalFS!L47:L48),0)</f>
        <v>0.28476500236936197</v>
      </c>
      <c r="O23" s="50">
        <f>IFERROR(AVERAGE(C23:L23),0)</f>
        <v>0.23077242440466755</v>
      </c>
      <c r="P23" s="50">
        <f>IFERROR(MEDIAN(C23:L23),0)</f>
        <v>0.2335836949393264</v>
      </c>
    </row>
    <row r="24" spans="2:16" ht="15" customHeight="1" x14ac:dyDescent="0.2">
      <c r="B24" t="s">
        <v>304</v>
      </c>
      <c r="C24" s="50">
        <f t="shared" ref="C24:L24" si="1">IFERROR(C22*C23,0)</f>
        <v>7.8446551274245449E-2</v>
      </c>
      <c r="D24" s="50">
        <f t="shared" si="1"/>
        <v>5.0096267886573315E-2</v>
      </c>
      <c r="E24" s="50">
        <f t="shared" si="1"/>
        <v>5.0894561803288774E-2</v>
      </c>
      <c r="F24" s="50">
        <f t="shared" si="1"/>
        <v>9.7922077922077924E-2</v>
      </c>
      <c r="G24" s="50">
        <f t="shared" si="1"/>
        <v>7.5341514845909008E-2</v>
      </c>
      <c r="H24" s="50">
        <f t="shared" si="1"/>
        <v>9.0821499668214969E-2</v>
      </c>
      <c r="I24" s="50">
        <f t="shared" si="1"/>
        <v>9.7309268370310439E-2</v>
      </c>
      <c r="J24" s="50">
        <f t="shared" si="1"/>
        <v>2.8187843297471496E-2</v>
      </c>
      <c r="K24" s="50">
        <f t="shared" si="1"/>
        <v>5.554488718194913E-2</v>
      </c>
      <c r="L24" s="50">
        <f t="shared" si="1"/>
        <v>7.5502950932667012E-2</v>
      </c>
      <c r="O24" s="50">
        <f>IFERROR(AVERAGE(C24:L24),0)</f>
        <v>7.0006742318270754E-2</v>
      </c>
      <c r="P24" s="50">
        <f>IFERROR(MEDIAN(C24:L24),0)</f>
        <v>7.542223288928801E-2</v>
      </c>
    </row>
    <row r="25" spans="2:16" ht="15" customHeight="1" x14ac:dyDescent="0.2">
      <c r="B25" s="77" t="s">
        <v>305</v>
      </c>
      <c r="C25" s="85" t="str">
        <f>IFERROR(((HistoricalFS!C18-HistoricalFS!C24)/HistoricalFS!C21),"NM")</f>
        <v>NM</v>
      </c>
      <c r="D25" s="85" t="str">
        <f>IFERROR(((HistoricalFS!D18-HistoricalFS!D24)/HistoricalFS!D21),"NM")</f>
        <v>NM</v>
      </c>
      <c r="E25" s="85" t="str">
        <f>IFERROR(((HistoricalFS!E18-HistoricalFS!E24)/HistoricalFS!E21),"NM")</f>
        <v>NM</v>
      </c>
      <c r="F25" s="85">
        <f>((HistoricalFS!F18-HistoricalFS!F24)/HistoricalFS!F21)</f>
        <v>113.96470588235294</v>
      </c>
      <c r="G25" s="85">
        <f>((HistoricalFS!G18-HistoricalFS!G24)/HistoricalFS!G21)</f>
        <v>126.26666666666667</v>
      </c>
      <c r="H25" s="85">
        <f>((HistoricalFS!H18-HistoricalFS!H24)/HistoricalFS!H21)</f>
        <v>140.07499999999999</v>
      </c>
      <c r="I25" s="85">
        <f>((HistoricalFS!I18-HistoricalFS!I24)/HistoricalFS!I21)</f>
        <v>108.82042253521126</v>
      </c>
      <c r="J25" s="85">
        <f>((HistoricalFS!J18-HistoricalFS!J24)/HistoricalFS!J21)</f>
        <v>67.5468085106383</v>
      </c>
      <c r="K25" s="85">
        <f>((HistoricalFS!K18-HistoricalFS!K24)/HistoricalFS!K21)</f>
        <v>82.75</v>
      </c>
      <c r="L25" s="86">
        <f>((HistoricalFS!L18-HistoricalFS!L24)/HistoricalFS!L21)</f>
        <v>89.850961538461533</v>
      </c>
      <c r="M25" s="84"/>
      <c r="O25" s="86">
        <f>IFERROR(AVERAGE(C25:L25),0)</f>
        <v>104.18208073333297</v>
      </c>
      <c r="P25" s="86">
        <f>IFERROR(MEDIAN(C25:L25),0)</f>
        <v>108.82042253521126</v>
      </c>
    </row>
    <row r="26" spans="2:16" ht="15" customHeight="1" x14ac:dyDescent="0.2">
      <c r="O26" s="50"/>
      <c r="P26" s="50"/>
    </row>
    <row r="27" spans="2:16" ht="15" customHeight="1" x14ac:dyDescent="0.2">
      <c r="B27" s="73" t="s">
        <v>306</v>
      </c>
      <c r="C27" s="87">
        <f>IFERROR(HistoricalFS!C6/HistoricalFS!C59,0)</f>
        <v>5.5578639831196233</v>
      </c>
      <c r="D27" s="87">
        <f>IFERROR(HistoricalFS!D6/HistoricalFS!D59,0)</f>
        <v>5.3661543144118093</v>
      </c>
      <c r="E27" s="87">
        <f>IFERROR(HistoricalFS!E6/HistoricalFS!E59,0)</f>
        <v>5.5759762595265396</v>
      </c>
      <c r="F27" s="87">
        <f>IFERROR(HistoricalFS!F6/HistoricalFS!F59,0)</f>
        <v>4.9110726456428839</v>
      </c>
      <c r="G27" s="87">
        <f>IFERROR(HistoricalFS!G6/HistoricalFS!G59,0)</f>
        <v>5.2074219964755883</v>
      </c>
      <c r="H27" s="87">
        <f>IFERROR(HistoricalFS!H6/HistoricalFS!H59,0)</f>
        <v>5.3591065292096216</v>
      </c>
      <c r="I27" s="87">
        <f>IFERROR(HistoricalFS!I6/HistoricalFS!I59,0)</f>
        <v>5.7727737570799249</v>
      </c>
      <c r="J27" s="87">
        <f>IFERROR(HistoricalFS!J6/HistoricalFS!J59,0)</f>
        <v>5.0895903023879709</v>
      </c>
      <c r="K27" s="87">
        <f>IFERROR(HistoricalFS!K6/HistoricalFS!K59,0)</f>
        <v>5.2310803004043906</v>
      </c>
      <c r="L27" s="88">
        <f>IFERROR(HistoricalFS!L6/HistoricalFS!L59,0)</f>
        <v>5.0703865584378729</v>
      </c>
      <c r="M27" s="82"/>
      <c r="O27" s="88">
        <f>IFERROR(AVERAGE(C27:L27),0)</f>
        <v>5.3141426646696228</v>
      </c>
      <c r="P27" s="88">
        <f>IFERROR(MEDIAN(C27:L27),0)</f>
        <v>5.2950934148070061</v>
      </c>
    </row>
    <row r="28" spans="2:16" ht="15" customHeight="1" x14ac:dyDescent="0.2">
      <c r="B28" t="s">
        <v>307</v>
      </c>
      <c r="C28" s="89">
        <f>IFERROR(HistoricalFS!C6/'Raw FS'!C10,0)</f>
        <v>186.6049046321526</v>
      </c>
      <c r="D28" s="89">
        <f>IFERROR(HistoricalFS!D6/'Raw FS'!D10,0)</f>
        <v>101.61671469740634</v>
      </c>
      <c r="E28" s="89">
        <f>IFERROR(HistoricalFS!E6/'Raw FS'!E10,0)</f>
        <v>49.954682779456192</v>
      </c>
      <c r="F28" s="89">
        <f>IFERROR(HistoricalFS!F6/'Raw FS'!F10,0)</f>
        <v>31.83415147265077</v>
      </c>
      <c r="G28" s="89">
        <f>IFERROR(HistoricalFS!G6/'Raw FS'!G10,0)</f>
        <v>37.985633270321358</v>
      </c>
      <c r="H28" s="89">
        <f>IFERROR(HistoricalFS!H6/'Raw FS'!H10,0)</f>
        <v>29.424528301886792</v>
      </c>
      <c r="I28" s="89">
        <f>IFERROR(HistoricalFS!I6/'Raw FS'!I10,0)</f>
        <v>37.973350582147475</v>
      </c>
      <c r="J28" s="89">
        <f>IFERROR(HistoricalFS!J6/'Raw FS'!J10,0)</f>
        <v>38.844792719919113</v>
      </c>
      <c r="K28" s="89">
        <f>IFERROR(HistoricalFS!K6/'Raw FS'!K10,0)</f>
        <v>39.142651296829975</v>
      </c>
      <c r="L28" s="89">
        <f>IFERROR(HistoricalFS!L6/'Raw FS'!L10,0)</f>
        <v>37.658094435075888</v>
      </c>
      <c r="O28" s="89">
        <f>IFERROR(AVERAGE(C28:L28),0)</f>
        <v>59.103950418784656</v>
      </c>
      <c r="P28" s="89">
        <f>IFERROR(MEDIAN(C28:L28),0)</f>
        <v>38.415212995120235</v>
      </c>
    </row>
    <row r="29" spans="2:16" ht="15" customHeight="1" x14ac:dyDescent="0.2">
      <c r="B29" t="s">
        <v>281</v>
      </c>
      <c r="C29" s="89">
        <f>IFERROR(HistoricalFS!C6/HistoricalFS!C60,0)</f>
        <v>0</v>
      </c>
      <c r="D29" s="89">
        <f>IFERROR(HistoricalFS!D6/HistoricalFS!D60,0)</f>
        <v>0</v>
      </c>
      <c r="E29" s="89">
        <f>IFERROR(HistoricalFS!E6/HistoricalFS!E60,0)</f>
        <v>0</v>
      </c>
      <c r="F29" s="89">
        <f>IFERROR(HistoricalFS!F6/HistoricalFS!F60,0)</f>
        <v>0</v>
      </c>
      <c r="G29" s="89">
        <f>IFERROR(HistoricalFS!G6/HistoricalFS!G60,0)</f>
        <v>0</v>
      </c>
      <c r="H29" s="89">
        <f>IFERROR(HistoricalFS!H6/HistoricalFS!H60,0)</f>
        <v>0</v>
      </c>
      <c r="I29" s="89">
        <f>IFERROR(HistoricalFS!I6/HistoricalFS!I60,0)</f>
        <v>0</v>
      </c>
      <c r="J29" s="89">
        <f>IFERROR(HistoricalFS!J6/HistoricalFS!J60,0)</f>
        <v>0</v>
      </c>
      <c r="K29" s="89">
        <f>IFERROR(HistoricalFS!K6/HistoricalFS!K60,0)</f>
        <v>0</v>
      </c>
      <c r="L29" s="89">
        <f>IFERROR(HistoricalFS!L6/HistoricalFS!L60,0)</f>
        <v>0</v>
      </c>
      <c r="O29" s="89">
        <f>IFERROR(AVERAGE(C29:L29),0)</f>
        <v>0</v>
      </c>
      <c r="P29" s="89">
        <f>IFERROR(MEDIAN(C29:L29),0)</f>
        <v>0</v>
      </c>
    </row>
    <row r="30" spans="2:16" ht="15" customHeight="1" x14ac:dyDescent="0.2">
      <c r="B30" t="s">
        <v>308</v>
      </c>
      <c r="C30" s="89">
        <f>IFERROR(HistoricalFS!C6/HistoricalFS!C53,0)</f>
        <v>4.8299597997037873</v>
      </c>
      <c r="D30" s="89">
        <f>IFERROR(HistoricalFS!D6/HistoricalFS!D53,0)</f>
        <v>5.6085573405439799</v>
      </c>
      <c r="E30" s="89">
        <f>IFERROR(HistoricalFS!E6/HistoricalFS!E53,0)</f>
        <v>5.2625716104392106</v>
      </c>
      <c r="F30" s="89">
        <f>IFERROR(HistoricalFS!F6/HistoricalFS!F53,0)</f>
        <v>3.8165118332002188</v>
      </c>
      <c r="G30" s="89">
        <f>IFERROR(HistoricalFS!G6/HistoricalFS!G53,0)</f>
        <v>3.9393060184277591</v>
      </c>
      <c r="H30" s="89">
        <f>IFERROR(HistoricalFS!H6/HistoricalFS!H53,0)</f>
        <v>4.7147674418604648</v>
      </c>
      <c r="I30" s="89">
        <f>IFERROR(HistoricalFS!I6/HistoricalFS!I53,0)</f>
        <v>5.0219674935842598</v>
      </c>
      <c r="J30" s="89">
        <f>IFERROR(HistoricalFS!J6/HistoricalFS!J53,0)</f>
        <v>5.5633190934762142</v>
      </c>
      <c r="K30" s="89">
        <f>IFERROR(HistoricalFS!K6/HistoricalFS!K53,0)</f>
        <v>5.2643648460967025</v>
      </c>
      <c r="L30" s="89">
        <f>IFERROR(HistoricalFS!L6/HistoricalFS!L53,0)</f>
        <v>5.2901984009475864</v>
      </c>
      <c r="O30" s="89">
        <f>IFERROR(AVERAGE(C30:L30),0)</f>
        <v>4.9311523878280195</v>
      </c>
      <c r="P30" s="89">
        <f>IFERROR(MEDIAN(C30:L30),0)</f>
        <v>5.1422695520117347</v>
      </c>
    </row>
    <row r="31" spans="2:16" ht="15" customHeight="1" x14ac:dyDescent="0.2">
      <c r="B31" s="77" t="s">
        <v>309</v>
      </c>
      <c r="C31" s="85">
        <f>IFERROR(HistoricalFS!C6/SUM(HistoricalFS!C47:C48),0)</f>
        <v>0.99278072540662776</v>
      </c>
      <c r="D31" s="85">
        <f>IFERROR(HistoricalFS!D6/SUM(HistoricalFS!D47:D48),0)</f>
        <v>1.0862406235078477</v>
      </c>
      <c r="E31" s="85">
        <f>IFERROR(HistoricalFS!E6/SUM(HistoricalFS!E47:E48),0)</f>
        <v>1.2729414300671307</v>
      </c>
      <c r="F31" s="85">
        <f>IFERROR(HistoricalFS!F6/SUM(HistoricalFS!F47:F48),0)</f>
        <v>1.3871810542398777</v>
      </c>
      <c r="G31" s="85">
        <f>IFERROR(HistoricalFS!G6/SUM(HistoricalFS!G47:G48),0)</f>
        <v>1.3159225157496299</v>
      </c>
      <c r="H31" s="85">
        <f>IFERROR(HistoricalFS!H6/SUM(HistoricalFS!H47:H48),0)</f>
        <v>1.6143463835434639</v>
      </c>
      <c r="I31" s="85">
        <f>IFERROR(HistoricalFS!I6/SUM(HistoricalFS!I47:I48),0)</f>
        <v>1.9463312424575967</v>
      </c>
      <c r="J31" s="85">
        <f>IFERROR(HistoricalFS!J6/SUM(HistoricalFS!J47:J48),0)</f>
        <v>1.7439511552952927</v>
      </c>
      <c r="K31" s="85">
        <f>IFERROR(HistoricalFS!K6/SUM(HistoricalFS!K47:K48),0)</f>
        <v>1.701037383372644</v>
      </c>
      <c r="L31" s="86">
        <f>IFERROR(HistoricalFS!L6/SUM(HistoricalFS!L47:L48),0)</f>
        <v>1.9240296385645974</v>
      </c>
      <c r="M31" s="84"/>
      <c r="O31" s="86">
        <f>IFERROR(AVERAGE(C31:L31),0)</f>
        <v>1.4984762152204707</v>
      </c>
      <c r="P31" s="86">
        <f>IFERROR(MEDIAN(C31:L31),0)</f>
        <v>1.5007637188916707</v>
      </c>
    </row>
    <row r="32" spans="2:16" ht="15" customHeight="1" x14ac:dyDescent="0.2">
      <c r="C32" s="89"/>
      <c r="D32" s="89"/>
      <c r="E32" s="89"/>
      <c r="F32" s="89"/>
      <c r="G32" s="89"/>
      <c r="H32" s="89"/>
      <c r="I32" s="89"/>
      <c r="J32" s="89"/>
      <c r="K32" s="89"/>
      <c r="L32" s="89"/>
      <c r="O32" s="50"/>
      <c r="P32" s="50"/>
    </row>
    <row r="33" spans="2:16" ht="15" customHeight="1" x14ac:dyDescent="0.2">
      <c r="B33" s="90" t="s">
        <v>310</v>
      </c>
      <c r="C33" s="73"/>
      <c r="D33" s="73"/>
      <c r="E33" s="73"/>
      <c r="F33" s="73"/>
      <c r="G33" s="73"/>
      <c r="H33" s="73"/>
      <c r="I33" s="73"/>
      <c r="J33" s="73"/>
      <c r="K33" s="73"/>
      <c r="L33" s="82"/>
      <c r="M33" s="82"/>
      <c r="O33" s="81"/>
      <c r="P33" s="81"/>
    </row>
    <row r="34" spans="2:16" ht="15" customHeight="1" x14ac:dyDescent="0.2">
      <c r="B34" t="s">
        <v>280</v>
      </c>
      <c r="C34" s="91">
        <f t="shared" ref="C34:L34" si="2">IFERROR(365/C27,0)</f>
        <v>65.672711874306415</v>
      </c>
      <c r="D34" s="91">
        <f t="shared" si="2"/>
        <v>68.018916082924477</v>
      </c>
      <c r="E34" s="91">
        <f t="shared" si="2"/>
        <v>65.459389174478375</v>
      </c>
      <c r="F34" s="91">
        <f t="shared" si="2"/>
        <v>74.321849081957467</v>
      </c>
      <c r="G34" s="91">
        <f t="shared" si="2"/>
        <v>70.092264511505689</v>
      </c>
      <c r="H34" s="91">
        <f t="shared" si="2"/>
        <v>68.108368066688044</v>
      </c>
      <c r="I34" s="91">
        <f t="shared" si="2"/>
        <v>63.227837320378555</v>
      </c>
      <c r="J34" s="91">
        <f t="shared" si="2"/>
        <v>71.715006182078483</v>
      </c>
      <c r="K34" s="91">
        <f t="shared" si="2"/>
        <v>69.775262286029815</v>
      </c>
      <c r="L34" s="91">
        <f t="shared" si="2"/>
        <v>71.986621886369988</v>
      </c>
      <c r="O34" s="91">
        <f>IFERROR(AVERAGE(C34:L34),0)</f>
        <v>68.837822646671739</v>
      </c>
      <c r="P34" s="91">
        <f>IFERROR(MEDIAN(C34:L34),0)</f>
        <v>68.941815176358929</v>
      </c>
    </row>
    <row r="35" spans="2:16" ht="15" customHeight="1" x14ac:dyDescent="0.2">
      <c r="B35" t="s">
        <v>311</v>
      </c>
      <c r="C35" s="91">
        <f t="shared" ref="C35:L35" si="3">IFERROR(365/C28,0)</f>
        <v>1.9560043221774428</v>
      </c>
      <c r="D35" s="91">
        <f t="shared" si="3"/>
        <v>3.591928759819631</v>
      </c>
      <c r="E35" s="91">
        <f t="shared" si="3"/>
        <v>7.3066223162987605</v>
      </c>
      <c r="F35" s="91">
        <f t="shared" si="3"/>
        <v>11.465673910409622</v>
      </c>
      <c r="G35" s="91">
        <f t="shared" si="3"/>
        <v>9.6088960108288877</v>
      </c>
      <c r="H35" s="91">
        <f t="shared" si="3"/>
        <v>12.404616864379609</v>
      </c>
      <c r="I35" s="91">
        <f t="shared" si="3"/>
        <v>9.6120040608583679</v>
      </c>
      <c r="J35" s="91">
        <f t="shared" si="3"/>
        <v>9.3963688423244616</v>
      </c>
      <c r="K35" s="91">
        <f t="shared" si="3"/>
        <v>9.3248665562304431</v>
      </c>
      <c r="L35" s="91">
        <f t="shared" si="3"/>
        <v>9.6924713126224447</v>
      </c>
      <c r="O35" s="91">
        <f>IFERROR(AVERAGE(C35:L35),0)</f>
        <v>8.4359452955949674</v>
      </c>
      <c r="P35" s="91">
        <f>IFERROR(MEDIAN(C35:L35),0)</f>
        <v>9.5026324265766746</v>
      </c>
    </row>
    <row r="36" spans="2:16" ht="15" customHeight="1" x14ac:dyDescent="0.2">
      <c r="B36" t="s">
        <v>312</v>
      </c>
      <c r="C36" s="91">
        <f t="shared" ref="C36:L36" si="4">IFERROR(365/C29,0)</f>
        <v>0</v>
      </c>
      <c r="D36" s="91">
        <f t="shared" si="4"/>
        <v>0</v>
      </c>
      <c r="E36" s="91">
        <f t="shared" si="4"/>
        <v>0</v>
      </c>
      <c r="F36" s="91">
        <f t="shared" si="4"/>
        <v>0</v>
      </c>
      <c r="G36" s="91">
        <f t="shared" si="4"/>
        <v>0</v>
      </c>
      <c r="H36" s="91">
        <f t="shared" si="4"/>
        <v>0</v>
      </c>
      <c r="I36" s="91">
        <f t="shared" si="4"/>
        <v>0</v>
      </c>
      <c r="J36" s="91">
        <f t="shared" si="4"/>
        <v>0</v>
      </c>
      <c r="K36" s="91">
        <f t="shared" si="4"/>
        <v>0</v>
      </c>
      <c r="L36" s="91">
        <f t="shared" si="4"/>
        <v>0</v>
      </c>
      <c r="O36" s="91">
        <f>IFERROR(AVERAGE(C36:L36),0)</f>
        <v>0</v>
      </c>
      <c r="P36" s="91">
        <f>IFERROR(MEDIAN(C36:L36),0)</f>
        <v>0</v>
      </c>
    </row>
    <row r="37" spans="2:16" ht="15" customHeight="1" x14ac:dyDescent="0.2">
      <c r="B37" s="77" t="s">
        <v>313</v>
      </c>
      <c r="C37" s="92">
        <f t="shared" ref="C37:L37" si="5">IFERROR(SUM(C34,C36)-C35,0)</f>
        <v>63.716707552128973</v>
      </c>
      <c r="D37" s="92">
        <f t="shared" si="5"/>
        <v>64.426987323104839</v>
      </c>
      <c r="E37" s="92">
        <f t="shared" si="5"/>
        <v>58.152766858179618</v>
      </c>
      <c r="F37" s="92">
        <f t="shared" si="5"/>
        <v>62.856175171547847</v>
      </c>
      <c r="G37" s="92">
        <f t="shared" si="5"/>
        <v>60.483368500676804</v>
      </c>
      <c r="H37" s="92">
        <f t="shared" si="5"/>
        <v>55.703751202308439</v>
      </c>
      <c r="I37" s="92">
        <f t="shared" si="5"/>
        <v>53.615833259520187</v>
      </c>
      <c r="J37" s="92">
        <f t="shared" si="5"/>
        <v>62.318637339754019</v>
      </c>
      <c r="K37" s="92">
        <f t="shared" si="5"/>
        <v>60.450395729799368</v>
      </c>
      <c r="L37" s="93">
        <f t="shared" si="5"/>
        <v>62.294150573747544</v>
      </c>
      <c r="M37" s="84"/>
      <c r="O37" s="93">
        <f>IFERROR(AVERAGE(C37:L37),0)</f>
        <v>60.401877351076756</v>
      </c>
      <c r="P37" s="93">
        <f>IFERROR(MEDIAN(C37:L37),0)</f>
        <v>61.388759537212174</v>
      </c>
    </row>
    <row r="38" spans="2:16" ht="15" customHeight="1" x14ac:dyDescent="0.2">
      <c r="O38" s="50"/>
      <c r="P38" s="50"/>
    </row>
    <row r="39" spans="2:16" ht="15" customHeight="1" x14ac:dyDescent="0.2">
      <c r="B39" s="73" t="s">
        <v>314</v>
      </c>
      <c r="C39" s="74">
        <f>IFERROR(HistoricalFS!C105/HistoricalFS!C6,0)</f>
        <v>0.16837509491268032</v>
      </c>
      <c r="D39" s="74">
        <f>IFERROR(HistoricalFS!D105/HistoricalFS!D6,0)</f>
        <v>0.18743087263548963</v>
      </c>
      <c r="E39" s="74">
        <f>IFERROR(HistoricalFS!E105/HistoricalFS!E6,0)</f>
        <v>0.179510130027215</v>
      </c>
      <c r="F39" s="74">
        <f>IFERROR(HistoricalFS!F105/HistoricalFS!F6,0)</f>
        <v>0.18727627187716844</v>
      </c>
      <c r="G39" s="74">
        <f>IFERROR(HistoricalFS!G105/HistoricalFS!G6,0)</f>
        <v>0.23114897682936539</v>
      </c>
      <c r="H39" s="74">
        <f>IFERROR(HistoricalFS!H105/HistoricalFS!H6,0)</f>
        <v>0.1963564916434426</v>
      </c>
      <c r="I39" s="74">
        <f>IFERROR(HistoricalFS!I105/HistoricalFS!I6,0)</f>
        <v>0.15307937070322347</v>
      </c>
      <c r="J39" s="74">
        <f>IFERROR(HistoricalFS!J105/HistoricalFS!J6,0)</f>
        <v>0.16405284050237523</v>
      </c>
      <c r="K39" s="74">
        <f>IFERROR(HistoricalFS!K105/HistoricalFS!K6,0)</f>
        <v>0.21899503036996135</v>
      </c>
      <c r="L39" s="81">
        <f>IFERROR(HistoricalFS!L105/HistoricalFS!L6,0)</f>
        <v>0.19023789532605653</v>
      </c>
      <c r="M39" s="82"/>
      <c r="O39" s="81">
        <f>IFERROR(AVERAGE(C39:L39),0)</f>
        <v>0.18764629748269779</v>
      </c>
      <c r="P39" s="81">
        <f>IFERROR(MEDIAN(C39:L39),0)</f>
        <v>0.18735357225632904</v>
      </c>
    </row>
    <row r="40" spans="2:16" ht="15" customHeight="1" x14ac:dyDescent="0.2">
      <c r="B40" t="s">
        <v>315</v>
      </c>
      <c r="C40" s="50">
        <f>IFERROR(HistoricalFS!C105/HistoricalFS!C64,0)</f>
        <v>0.13868042526579111</v>
      </c>
      <c r="D40" s="50">
        <f>IFERROR(HistoricalFS!D105/HistoricalFS!D64,0)</f>
        <v>0.16658054921927182</v>
      </c>
      <c r="E40" s="50">
        <f>IFERROR(HistoricalFS!E105/HistoricalFS!E64,0)</f>
        <v>0.17653986153736351</v>
      </c>
      <c r="F40" s="50">
        <f>IFERROR(HistoricalFS!F105/HistoricalFS!F64,0)</f>
        <v>0.18521786492374728</v>
      </c>
      <c r="G40" s="50">
        <f>IFERROR(HistoricalFS!G105/HistoricalFS!G64,0)</f>
        <v>0.21601510543107216</v>
      </c>
      <c r="H40" s="50">
        <f>IFERROR(HistoricalFS!H105/HistoricalFS!H64,0)</f>
        <v>0.20461924628841163</v>
      </c>
      <c r="I40" s="50">
        <f>IFERROR(HistoricalFS!I105/HistoricalFS!I64,0)</f>
        <v>0.18031879033034767</v>
      </c>
      <c r="J40" s="50">
        <f>IFERROR(HistoricalFS!J105/HistoricalFS!J64,0)</f>
        <v>0.18534039111895309</v>
      </c>
      <c r="K40" s="50">
        <f>IFERROR(HistoricalFS!K105/HistoricalFS!K64,0)</f>
        <v>0.24151019993910483</v>
      </c>
      <c r="L40" s="50">
        <f>IFERROR(HistoricalFS!L105/HistoricalFS!L64,0)</f>
        <v>0.22027636627605518</v>
      </c>
      <c r="O40" s="50">
        <f>IFERROR(AVERAGE(C40:L40),0)</f>
        <v>0.19150988003301184</v>
      </c>
      <c r="P40" s="50">
        <f>IFERROR(MEDIAN(C40:L40),0)</f>
        <v>0.18527912802135019</v>
      </c>
    </row>
    <row r="41" spans="2:16" ht="15" customHeight="1" x14ac:dyDescent="0.2">
      <c r="B41" s="77" t="s">
        <v>316</v>
      </c>
      <c r="C41" s="78">
        <f>IFERROR(HistoricalFS!C105/HistoricalFS!C49,0)</f>
        <v>0</v>
      </c>
      <c r="D41" s="78">
        <f>IFERROR(HistoricalFS!D105/HistoricalFS!D49,0)</f>
        <v>0</v>
      </c>
      <c r="E41" s="78">
        <f>IFERROR(HistoricalFS!E105/HistoricalFS!E49,0)</f>
        <v>0</v>
      </c>
      <c r="F41" s="78">
        <f>IFERROR(HistoricalFS!F105/HistoricalFS!F49,0)</f>
        <v>3.6699762572846968</v>
      </c>
      <c r="G41" s="78">
        <f>IFERROR(HistoricalFS!G105/HistoricalFS!G49,0)</f>
        <v>4.36131455399061</v>
      </c>
      <c r="H41" s="78">
        <f>IFERROR(HistoricalFS!H105/HistoricalFS!H49,0)</f>
        <v>4.3633540372670812</v>
      </c>
      <c r="I41" s="78">
        <f>IFERROR(HistoricalFS!I105/HistoricalFS!I49,0)</f>
        <v>2.7071936377876851</v>
      </c>
      <c r="J41" s="78">
        <f>IFERROR(HistoricalFS!J105/HistoricalFS!J49,0)</f>
        <v>3.0159109941380549</v>
      </c>
      <c r="K41" s="78">
        <f>IFERROR(HistoricalFS!K105/HistoricalFS!K49,0)</f>
        <v>4.3386410599246386</v>
      </c>
      <c r="L41" s="83">
        <f>IFERROR(HistoricalFS!L105/HistoricalFS!L49,0)</f>
        <v>3.7037925021795988</v>
      </c>
      <c r="M41" s="84"/>
      <c r="O41" s="83">
        <f>IFERROR(AVERAGE(C41:L41),0)</f>
        <v>2.6160183042572367</v>
      </c>
      <c r="P41" s="83">
        <f>IFERROR(MEDIAN(C41:L41),0)</f>
        <v>3.342943625711376</v>
      </c>
    </row>
  </sheetData>
  <mergeCells count="1">
    <mergeCell ref="B2:P2"/>
  </mergeCells>
  <pageMargins left="0.7" right="0.7" top="0.75" bottom="0.75" header="0.511811023622047" footer="0.511811023622047"/>
  <pageSetup paperSize="9" orientation="portrait" horizontalDpi="300" verticalDpi="300"/>
  <legacyDrawing r:id="rId1"/>
  <extLst>
    <ext xmlns:x14="http://schemas.microsoft.com/office/spreadsheetml/2009/9/main" uri="{05C60535-1F16-4fd2-B633-F4F36F0B64E0}">
      <x14:sparklineGroups xmlns:xm="http://schemas.microsoft.com/office/excel/2006/main">
        <x14:sparklineGroup manualMax="0" manualMin="0" displayEmptyCellsAs="gap" markers="1" xr2:uid="{A41FDBCB-5D29-0F4C-AFB9-53C407472C8D}">
          <x14:colorSeries rgb="FF00B0F0"/>
          <x14:colorNegative rgb="FFD00000"/>
          <x14:colorAxis rgb="FF000000"/>
          <x14:colorMarkers theme="1"/>
          <x14:colorFirst rgb="FFD00000"/>
          <x14:colorLast rgb="FFD00000"/>
          <x14:colorHigh rgb="FFD00000"/>
          <x14:colorLow rgb="FFD00000"/>
          <x14:sparklines>
            <x14:sparkline>
              <xm:f>'Ratio Analysis'!C32:L32</xm:f>
              <xm:sqref>N32</xm:sqref>
            </x14:sparkline>
            <x14:sparkline>
              <xm:f>'Ratio Analysis'!C33:L33</xm:f>
              <xm:sqref>N33</xm:sqref>
            </x14:sparkline>
            <x14:sparkline>
              <xm:f>'Ratio Analysis'!C34:L34</xm:f>
              <xm:sqref>N34</xm:sqref>
            </x14:sparkline>
            <x14:sparkline>
              <xm:f>'Ratio Analysis'!C35:L35</xm:f>
              <xm:sqref>N35</xm:sqref>
            </x14:sparkline>
            <x14:sparkline>
              <xm:f>'Ratio Analysis'!C36:L36</xm:f>
              <xm:sqref>N36</xm:sqref>
            </x14:sparkline>
            <x14:sparkline>
              <xm:f>'Ratio Analysis'!C37:L37</xm:f>
              <xm:sqref>N37</xm:sqref>
            </x14:sparkline>
            <x14:sparkline>
              <xm:f>'Ratio Analysis'!C38:L38</xm:f>
              <xm:sqref>N38</xm:sqref>
            </x14:sparkline>
            <x14:sparkline>
              <xm:f>'Ratio Analysis'!C39:L39</xm:f>
              <xm:sqref>N39</xm:sqref>
            </x14:sparkline>
            <x14:sparkline>
              <xm:f>'Ratio Analysis'!C40:L40</xm:f>
              <xm:sqref>N40</xm:sqref>
            </x14:sparkline>
          </x14:sparklines>
        </x14:sparklineGroup>
        <x14:sparklineGroup manualMax="0" manualMin="0" displayEmptyCellsAs="gap" markers="1" xr2:uid="{15C9D2A8-EABB-9A41-83E0-300139C26832}">
          <x14:colorSeries rgb="FF00B0F0"/>
          <x14:colorNegative rgb="FFD00000"/>
          <x14:colorAxis rgb="FF000000"/>
          <x14:colorMarkers theme="1"/>
          <x14:colorFirst rgb="FFD00000"/>
          <x14:colorLast rgb="FFD00000"/>
          <x14:colorHigh rgb="FFD00000"/>
          <x14:colorLow rgb="FFD00000"/>
          <x14:sparklines>
            <x14:sparkline>
              <xm:f>'Ratio Analysis'!C10:L10</xm:f>
              <xm:sqref>N10</xm:sqref>
            </x14:sparkline>
            <x14:sparkline>
              <xm:f>'Ratio Analysis'!C11:L11</xm:f>
              <xm:sqref>N11</xm:sqref>
            </x14:sparkline>
            <x14:sparkline>
              <xm:f>'Ratio Analysis'!C12:L12</xm:f>
              <xm:sqref>N12</xm:sqref>
            </x14:sparkline>
            <x14:sparkline>
              <xm:f>'Ratio Analysis'!C13:L13</xm:f>
              <xm:sqref>N13</xm:sqref>
            </x14:sparkline>
            <x14:sparkline>
              <xm:f>'Ratio Analysis'!C14:L14</xm:f>
              <xm:sqref>N14</xm:sqref>
            </x14:sparkline>
            <x14:sparkline>
              <xm:f>'Ratio Analysis'!C15:L15</xm:f>
              <xm:sqref>N15</xm:sqref>
            </x14:sparkline>
            <x14:sparkline>
              <xm:f>'Ratio Analysis'!C16:L16</xm:f>
              <xm:sqref>N16</xm:sqref>
            </x14:sparkline>
            <x14:sparkline>
              <xm:f>'Ratio Analysis'!C17:L17</xm:f>
              <xm:sqref>N17</xm:sqref>
            </x14:sparkline>
            <x14:sparkline>
              <xm:f>'Ratio Analysis'!C18:L18</xm:f>
              <xm:sqref>N18</xm:sqref>
            </x14:sparkline>
            <x14:sparkline>
              <xm:f>'Ratio Analysis'!C19:L19</xm:f>
              <xm:sqref>N19</xm:sqref>
            </x14:sparkline>
            <x14:sparkline>
              <xm:f>'Ratio Analysis'!C20:L20</xm:f>
              <xm:sqref>N20</xm:sqref>
            </x14:sparkline>
            <x14:sparkline>
              <xm:f>'Ratio Analysis'!C21:L21</xm:f>
              <xm:sqref>N21</xm:sqref>
            </x14:sparkline>
            <x14:sparkline>
              <xm:f>'Ratio Analysis'!C22:L22</xm:f>
              <xm:sqref>N22</xm:sqref>
            </x14:sparkline>
            <x14:sparkline>
              <xm:f>'Ratio Analysis'!C23:L23</xm:f>
              <xm:sqref>N23</xm:sqref>
            </x14:sparkline>
            <x14:sparkline>
              <xm:f>'Ratio Analysis'!C24:L24</xm:f>
              <xm:sqref>N24</xm:sqref>
            </x14:sparkline>
            <x14:sparkline>
              <xm:f>'Ratio Analysis'!C25:L25</xm:f>
              <xm:sqref>N25</xm:sqref>
            </x14:sparkline>
            <x14:sparkline>
              <xm:f>'Ratio Analysis'!C26:L26</xm:f>
              <xm:sqref>N26</xm:sqref>
            </x14:sparkline>
            <x14:sparkline>
              <xm:f>'Ratio Analysis'!C27:L27</xm:f>
              <xm:sqref>N27</xm:sqref>
            </x14:sparkline>
            <x14:sparkline>
              <xm:f>'Ratio Analysis'!C28:L28</xm:f>
              <xm:sqref>N28</xm:sqref>
            </x14:sparkline>
            <x14:sparkline>
              <xm:f>'Ratio Analysis'!C29:L29</xm:f>
              <xm:sqref>N29</xm:sqref>
            </x14:sparkline>
            <x14:sparkline>
              <xm:f>'Ratio Analysis'!C30:L30</xm:f>
              <xm:sqref>N30</xm:sqref>
            </x14:sparkline>
            <x14:sparkline>
              <xm:f>'Ratio Analysis'!C31:L31</xm:f>
              <xm:sqref>N31</xm:sqref>
            </x14:sparkline>
          </x14:sparklines>
        </x14:sparklineGroup>
        <x14:sparklineGroup manualMax="0" manualMin="0" displayEmptyCellsAs="gap" markers="1" xr2:uid="{BD3500C5-C64E-564E-AAC2-469D40DB4AF9}">
          <x14:colorSeries rgb="FF00B0F0"/>
          <x14:colorNegative rgb="FFD00000"/>
          <x14:colorAxis rgb="FF000000"/>
          <x14:colorMarkers theme="1"/>
          <x14:colorFirst rgb="FFD00000"/>
          <x14:colorLast rgb="FFD00000"/>
          <x14:colorHigh rgb="FFD00000"/>
          <x14:colorLow rgb="FFD00000"/>
          <x14:sparklines>
            <x14:sparkline>
              <xm:f>'Ratio Analysis'!D5:L5</xm:f>
              <xm:sqref>N5</xm:sqref>
            </x14:sparkline>
            <x14:sparkline>
              <xm:f>'Ratio Analysis'!D6:L6</xm:f>
              <xm:sqref>N6</xm:sqref>
            </x14:sparkline>
            <x14:sparkline>
              <xm:f>'Ratio Analysis'!D7:L7</xm:f>
              <xm:sqref>N7</xm:sqref>
            </x14:sparkline>
            <x14:sparkline>
              <xm:f>'Ratio Analysis'!D8:L8</xm:f>
              <xm:sqref>N8</xm:sqref>
            </x14:sparkline>
            <x14:sparkline>
              <xm:f>'Ratio Analysis'!D41:L41</xm:f>
              <xm:sqref>N41</xm:sqref>
            </x14:sparkline>
            <x14:sparkline>
              <xm:f>'Ratio Analysis'!D9:L9</xm:f>
              <xm:sqref>N9</xm:sqref>
            </x14:sparkline>
          </x14:sparklines>
        </x14:sparklineGroup>
      </x14:sparklineGroup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B1:K126"/>
  <sheetViews>
    <sheetView showGridLines="0" topLeftCell="A38" zoomScale="90" zoomScaleNormal="90" workbookViewId="0">
      <selection activeCell="H65" sqref="H65"/>
    </sheetView>
  </sheetViews>
  <sheetFormatPr baseColWidth="10" defaultColWidth="10.6640625" defaultRowHeight="15" x14ac:dyDescent="0.2"/>
  <cols>
    <col min="1" max="1" width="2.33203125" customWidth="1"/>
    <col min="2" max="2" width="40.6640625" customWidth="1"/>
    <col min="3" max="3" width="13.33203125" customWidth="1"/>
  </cols>
  <sheetData>
    <row r="1" spans="2:10" ht="15" customHeight="1" x14ac:dyDescent="0.2">
      <c r="B1" s="94"/>
      <c r="C1" s="94"/>
      <c r="D1" s="94"/>
      <c r="E1" s="94"/>
      <c r="F1" s="94"/>
      <c r="G1" s="94"/>
      <c r="H1" s="94"/>
      <c r="I1" s="94"/>
      <c r="J1" s="94"/>
    </row>
    <row r="3" spans="2:10" ht="33.75" customHeight="1" x14ac:dyDescent="0.35">
      <c r="B3" s="95" t="str">
        <f>'Data Sheet'!B1</f>
        <v>INFOSYS LTD</v>
      </c>
    </row>
    <row r="6" spans="2:10" ht="15" customHeight="1" x14ac:dyDescent="0.2">
      <c r="B6" t="s">
        <v>317</v>
      </c>
    </row>
    <row r="7" spans="2:10" ht="30" customHeight="1" x14ac:dyDescent="0.25">
      <c r="B7" s="96" t="str">
        <f>CONCATENATE("  ","INR "&amp;'Data Sheet'!B8)</f>
        <v xml:space="preserve">  INR 1121</v>
      </c>
    </row>
    <row r="8" spans="2:10" ht="15" customHeight="1" x14ac:dyDescent="0.2">
      <c r="B8" t="s">
        <v>318</v>
      </c>
    </row>
    <row r="9" spans="2:10" ht="6" customHeight="1" x14ac:dyDescent="0.2">
      <c r="B9" s="97"/>
      <c r="C9" s="97"/>
      <c r="D9" s="97"/>
      <c r="E9" s="97"/>
      <c r="F9" s="97"/>
      <c r="G9" s="97"/>
      <c r="H9" s="97"/>
      <c r="I9" s="97"/>
    </row>
    <row r="10" spans="2:10" ht="15.75" customHeight="1" x14ac:dyDescent="0.2">
      <c r="B10" s="98" t="s">
        <v>319</v>
      </c>
    </row>
    <row r="11" spans="2:10" ht="16.5" customHeight="1" x14ac:dyDescent="0.2">
      <c r="B11" s="8" t="s">
        <v>320</v>
      </c>
      <c r="C11" s="8"/>
      <c r="D11" s="8"/>
      <c r="E11" s="8"/>
      <c r="F11" s="8"/>
      <c r="G11" s="8"/>
      <c r="H11" s="8"/>
      <c r="I11" s="8"/>
    </row>
    <row r="12" spans="2:10" ht="19.5" customHeight="1" x14ac:dyDescent="0.2">
      <c r="B12" s="8"/>
      <c r="C12" s="8"/>
      <c r="D12" s="8"/>
      <c r="E12" s="8"/>
      <c r="F12" s="8"/>
      <c r="G12" s="8"/>
      <c r="H12" s="8"/>
      <c r="I12" s="8"/>
    </row>
    <row r="13" spans="2:10" ht="15" customHeight="1" x14ac:dyDescent="0.2">
      <c r="B13" s="8"/>
      <c r="C13" s="8"/>
      <c r="D13" s="8"/>
      <c r="E13" s="8"/>
      <c r="F13" s="8"/>
      <c r="G13" s="8"/>
      <c r="H13" s="8"/>
      <c r="I13" s="8"/>
    </row>
    <row r="14" spans="2:10" ht="37.5" customHeight="1" x14ac:dyDescent="0.2">
      <c r="B14" s="8"/>
      <c r="C14" s="8"/>
      <c r="D14" s="8"/>
      <c r="E14" s="8"/>
      <c r="F14" s="8"/>
      <c r="G14" s="8"/>
      <c r="H14" s="8"/>
      <c r="I14" s="8"/>
    </row>
    <row r="15" spans="2:10" ht="6" customHeight="1" x14ac:dyDescent="0.2"/>
    <row r="16" spans="2:10" ht="15.75" customHeight="1" x14ac:dyDescent="0.2">
      <c r="B16" s="98" t="s">
        <v>321</v>
      </c>
    </row>
    <row r="17" spans="2:2" ht="15.75" customHeight="1" x14ac:dyDescent="0.2">
      <c r="B17" s="98"/>
    </row>
    <row r="58" spans="2:10" ht="15.75" customHeight="1" x14ac:dyDescent="0.2"/>
    <row r="60" spans="2:10" ht="15" customHeight="1" x14ac:dyDescent="0.2">
      <c r="B60" s="94"/>
      <c r="C60" s="94"/>
      <c r="D60" s="94"/>
      <c r="E60" s="94"/>
      <c r="F60" s="94"/>
      <c r="G60" s="94"/>
      <c r="H60" s="94"/>
      <c r="I60" s="94"/>
      <c r="J60" s="94"/>
    </row>
    <row r="62" spans="2:10" ht="15" customHeight="1" x14ac:dyDescent="0.2">
      <c r="B62" s="94"/>
      <c r="C62" s="94"/>
      <c r="D62" s="94"/>
      <c r="E62" s="94"/>
      <c r="F62" s="94"/>
      <c r="G62" s="94"/>
      <c r="H62" s="94"/>
      <c r="I62" s="94"/>
      <c r="J62" s="94"/>
    </row>
    <row r="67" spans="2:11" ht="15.75" customHeight="1" x14ac:dyDescent="0.2">
      <c r="B67" s="7" t="s">
        <v>322</v>
      </c>
      <c r="C67" s="7"/>
      <c r="D67" s="7"/>
      <c r="E67" s="7"/>
      <c r="F67" s="7"/>
      <c r="G67" s="7"/>
      <c r="H67" s="7"/>
      <c r="I67" s="7"/>
    </row>
    <row r="68" spans="2:11" ht="15" customHeight="1" x14ac:dyDescent="0.2">
      <c r="C68" s="99">
        <f>HistoricalFS!F3</f>
        <v>43921</v>
      </c>
      <c r="D68" s="99">
        <f>HistoricalFS!G3</f>
        <v>44286</v>
      </c>
      <c r="E68" s="99">
        <f>HistoricalFS!H3</f>
        <v>44651</v>
      </c>
      <c r="F68" s="99">
        <f>HistoricalFS!I3</f>
        <v>45016</v>
      </c>
      <c r="G68" s="99">
        <f>HistoricalFS!J3</f>
        <v>45382</v>
      </c>
      <c r="H68" s="99">
        <f>HistoricalFS!K3</f>
        <v>45747</v>
      </c>
      <c r="I68" s="99">
        <f>HistoricalFS!L3</f>
        <v>46112</v>
      </c>
    </row>
    <row r="69" spans="2:11" ht="15" customHeight="1" x14ac:dyDescent="0.2">
      <c r="B69" t="s">
        <v>194</v>
      </c>
      <c r="C69" s="23">
        <f>'Data Sheet'!E30</f>
        <v>16594</v>
      </c>
      <c r="D69" s="23">
        <f>'Data Sheet'!F30</f>
        <v>19351</v>
      </c>
      <c r="E69" s="23">
        <f>'Data Sheet'!G30</f>
        <v>22110</v>
      </c>
      <c r="F69" s="23">
        <f>'Data Sheet'!H30</f>
        <v>24095</v>
      </c>
      <c r="G69" s="23">
        <f>'Data Sheet'!I30</f>
        <v>26233</v>
      </c>
      <c r="H69" s="23">
        <f>'Data Sheet'!J30</f>
        <v>26713</v>
      </c>
      <c r="I69" s="23">
        <f>'Data Sheet'!K30</f>
        <v>29440</v>
      </c>
    </row>
    <row r="70" spans="2:11" ht="15" customHeight="1" x14ac:dyDescent="0.2">
      <c r="B70" t="s">
        <v>323</v>
      </c>
      <c r="C70" s="23">
        <f>(('Data Sheet'!E57+'Data Sheet'!E58)+('Data Sheet'!D57+'Data Sheet'!D58))/2</f>
        <v>65199</v>
      </c>
      <c r="D70" s="23">
        <f>(('Data Sheet'!F57+'Data Sheet'!F58)+('Data Sheet'!E57+'Data Sheet'!E58))/2</f>
        <v>70900.5</v>
      </c>
      <c r="E70" s="23">
        <f>(('Data Sheet'!G57+'Data Sheet'!G58)+('Data Sheet'!F57+'Data Sheet'!F58))/2</f>
        <v>75850.5</v>
      </c>
      <c r="F70" s="23">
        <f>(('Data Sheet'!H57+'Data Sheet'!H58)+('Data Sheet'!G57+'Data Sheet'!G58))/2</f>
        <v>75378.5</v>
      </c>
      <c r="G70" s="23">
        <f>(('Data Sheet'!I57+'Data Sheet'!I58)+('Data Sheet'!H57+'Data Sheet'!H58))/2</f>
        <v>81761.5</v>
      </c>
      <c r="H70" s="23">
        <f>(('Data Sheet'!J57+'Data Sheet'!J58)+('Data Sheet'!I57+'Data Sheet'!I58))/2</f>
        <v>91967</v>
      </c>
      <c r="I70" s="23">
        <f>(('Data Sheet'!K57+'Data Sheet'!K58)+('Data Sheet'!J57+'Data Sheet'!J58))/2</f>
        <v>94335</v>
      </c>
    </row>
    <row r="71" spans="2:11" ht="15" customHeight="1" x14ac:dyDescent="0.2">
      <c r="B71" s="100" t="s">
        <v>322</v>
      </c>
      <c r="C71" s="101">
        <f t="shared" ref="C71:I71" si="0">C69/C70</f>
        <v>0.2545131060292336</v>
      </c>
      <c r="D71" s="101">
        <f t="shared" si="0"/>
        <v>0.27293178468417006</v>
      </c>
      <c r="E71" s="101">
        <f t="shared" si="0"/>
        <v>0.29149445290406789</v>
      </c>
      <c r="F71" s="101">
        <f t="shared" si="0"/>
        <v>0.31965348209370048</v>
      </c>
      <c r="G71" s="101">
        <f t="shared" si="0"/>
        <v>0.3208478318034772</v>
      </c>
      <c r="H71" s="101">
        <f t="shared" si="0"/>
        <v>0.29046288342557658</v>
      </c>
      <c r="I71" s="101">
        <f t="shared" si="0"/>
        <v>0.31207929188530237</v>
      </c>
    </row>
    <row r="73" spans="2:11" ht="15.75" customHeight="1" x14ac:dyDescent="0.2">
      <c r="B73" s="7" t="s">
        <v>324</v>
      </c>
      <c r="C73" s="7"/>
      <c r="D73" s="7"/>
      <c r="E73" s="7"/>
      <c r="F73" s="7"/>
      <c r="G73" s="7"/>
      <c r="H73" s="7"/>
      <c r="I73" s="7"/>
    </row>
    <row r="74" spans="2:11" ht="15" customHeight="1" x14ac:dyDescent="0.2">
      <c r="C74" s="71">
        <f t="shared" ref="C74:I75" si="1">C68</f>
        <v>43921</v>
      </c>
      <c r="D74" s="71">
        <f t="shared" si="1"/>
        <v>44286</v>
      </c>
      <c r="E74" s="71">
        <f t="shared" si="1"/>
        <v>44651</v>
      </c>
      <c r="F74" s="71">
        <f t="shared" si="1"/>
        <v>45016</v>
      </c>
      <c r="G74" s="71">
        <f t="shared" si="1"/>
        <v>45382</v>
      </c>
      <c r="H74" s="71">
        <f t="shared" si="1"/>
        <v>45747</v>
      </c>
      <c r="I74" s="71">
        <f t="shared" si="1"/>
        <v>46112</v>
      </c>
    </row>
    <row r="75" spans="2:11" ht="15" customHeight="1" x14ac:dyDescent="0.2">
      <c r="B75" t="str">
        <f>B69</f>
        <v>Net Profit</v>
      </c>
      <c r="C75" s="23">
        <f t="shared" si="1"/>
        <v>16594</v>
      </c>
      <c r="D75" s="23">
        <f t="shared" si="1"/>
        <v>19351</v>
      </c>
      <c r="E75" s="23">
        <f t="shared" si="1"/>
        <v>22110</v>
      </c>
      <c r="F75" s="23">
        <f t="shared" si="1"/>
        <v>24095</v>
      </c>
      <c r="G75" s="23">
        <f t="shared" si="1"/>
        <v>26233</v>
      </c>
      <c r="H75" s="23">
        <f t="shared" si="1"/>
        <v>26713</v>
      </c>
      <c r="I75" s="23">
        <f t="shared" si="1"/>
        <v>29440</v>
      </c>
    </row>
    <row r="76" spans="2:11" ht="15" customHeight="1" x14ac:dyDescent="0.2">
      <c r="B76" t="s">
        <v>325</v>
      </c>
      <c r="C76" s="23">
        <f>'Data Sheet'!E17</f>
        <v>90791</v>
      </c>
      <c r="D76" s="23">
        <f>'Data Sheet'!F17</f>
        <v>100472</v>
      </c>
      <c r="E76" s="23">
        <f>'Data Sheet'!G17</f>
        <v>121641</v>
      </c>
      <c r="F76" s="23">
        <f>'Data Sheet'!H17</f>
        <v>146767</v>
      </c>
      <c r="G76" s="23">
        <f>'Data Sheet'!I17</f>
        <v>153670</v>
      </c>
      <c r="H76" s="23">
        <f>'Data Sheet'!J17</f>
        <v>162990</v>
      </c>
      <c r="I76" s="23">
        <f>'Data Sheet'!K17</f>
        <v>178650</v>
      </c>
    </row>
    <row r="77" spans="2:11" ht="15" customHeight="1" x14ac:dyDescent="0.2">
      <c r="B77" s="100" t="s">
        <v>326</v>
      </c>
      <c r="C77" s="101">
        <f t="shared" ref="C77:I77" si="2">C75/C76</f>
        <v>0.182771420074677</v>
      </c>
      <c r="D77" s="101">
        <f t="shared" si="2"/>
        <v>0.19260092364041723</v>
      </c>
      <c r="E77" s="101">
        <f t="shared" si="2"/>
        <v>0.18176437221002786</v>
      </c>
      <c r="F77" s="101">
        <f t="shared" si="2"/>
        <v>0.16417178248516356</v>
      </c>
      <c r="G77" s="101">
        <f t="shared" si="2"/>
        <v>0.17070996290752913</v>
      </c>
      <c r="H77" s="101">
        <f t="shared" si="2"/>
        <v>0.16389349039818393</v>
      </c>
      <c r="I77" s="101">
        <f t="shared" si="2"/>
        <v>0.16479149174363281</v>
      </c>
    </row>
    <row r="79" spans="2:11" ht="15" customHeight="1" x14ac:dyDescent="0.2">
      <c r="B79" t="s">
        <v>325</v>
      </c>
      <c r="C79" s="23">
        <f t="shared" ref="C79:I79" si="3">C76</f>
        <v>90791</v>
      </c>
      <c r="D79" s="23">
        <f t="shared" si="3"/>
        <v>100472</v>
      </c>
      <c r="E79" s="23">
        <f t="shared" si="3"/>
        <v>121641</v>
      </c>
      <c r="F79" s="23">
        <f t="shared" si="3"/>
        <v>146767</v>
      </c>
      <c r="G79" s="23">
        <f t="shared" si="3"/>
        <v>153670</v>
      </c>
      <c r="H79" s="23">
        <f t="shared" si="3"/>
        <v>162990</v>
      </c>
      <c r="I79" s="23">
        <f t="shared" si="3"/>
        <v>178650</v>
      </c>
      <c r="K79" s="23"/>
    </row>
    <row r="80" spans="2:11" ht="15" customHeight="1" x14ac:dyDescent="0.2">
      <c r="B80" t="s">
        <v>327</v>
      </c>
      <c r="C80" s="23">
        <f>('Data Sheet'!E66+'Data Sheet'!D66)/2</f>
        <v>87933</v>
      </c>
      <c r="D80" s="23">
        <f>('Data Sheet'!F66+'Data Sheet'!E66)/2</f>
        <v>99655.5</v>
      </c>
      <c r="E80" s="23">
        <f>('Data Sheet'!G66+'Data Sheet'!F66)/2</f>
        <v>112120</v>
      </c>
      <c r="F80" s="23">
        <f>('Data Sheet'!H66+'Data Sheet'!G66)/2</f>
        <v>120662.5</v>
      </c>
      <c r="G80" s="23">
        <f>('Data Sheet'!I66+'Data Sheet'!H66)/2</f>
        <v>130308</v>
      </c>
      <c r="H80" s="23">
        <f>('Data Sheet'!J66+'Data Sheet'!I66)/2</f>
        <v>141907.5</v>
      </c>
      <c r="I80" s="23">
        <f>('Data Sheet'!K66+'Data Sheet'!J66)/2</f>
        <v>151041.5</v>
      </c>
    </row>
    <row r="81" spans="2:9" ht="15" customHeight="1" x14ac:dyDescent="0.2">
      <c r="B81" s="100" t="s">
        <v>328</v>
      </c>
      <c r="C81" s="102">
        <f t="shared" ref="C81:I81" si="4">C79/C80</f>
        <v>1.0325020185823297</v>
      </c>
      <c r="D81" s="102">
        <f t="shared" si="4"/>
        <v>1.0081932256624071</v>
      </c>
      <c r="E81" s="102">
        <f t="shared" si="4"/>
        <v>1.0849179450588655</v>
      </c>
      <c r="F81" s="102">
        <f t="shared" si="4"/>
        <v>1.216343105770227</v>
      </c>
      <c r="G81" s="102">
        <f t="shared" si="4"/>
        <v>1.1792829296743101</v>
      </c>
      <c r="H81" s="102">
        <f t="shared" si="4"/>
        <v>1.1485650864119232</v>
      </c>
      <c r="I81" s="102">
        <f t="shared" si="4"/>
        <v>1.1827875120413927</v>
      </c>
    </row>
    <row r="83" spans="2:9" ht="15" customHeight="1" x14ac:dyDescent="0.2">
      <c r="B83" t="s">
        <v>327</v>
      </c>
      <c r="C83" s="23">
        <f t="shared" ref="C83:I83" si="5">C80</f>
        <v>87933</v>
      </c>
      <c r="D83" s="23">
        <f t="shared" si="5"/>
        <v>99655.5</v>
      </c>
      <c r="E83" s="23">
        <f t="shared" si="5"/>
        <v>112120</v>
      </c>
      <c r="F83" s="23">
        <f t="shared" si="5"/>
        <v>120662.5</v>
      </c>
      <c r="G83" s="23">
        <f t="shared" si="5"/>
        <v>130308</v>
      </c>
      <c r="H83" s="23">
        <f t="shared" si="5"/>
        <v>141907.5</v>
      </c>
      <c r="I83" s="23">
        <f t="shared" si="5"/>
        <v>151041.5</v>
      </c>
    </row>
    <row r="84" spans="2:9" ht="15" customHeight="1" x14ac:dyDescent="0.2">
      <c r="B84" t="str">
        <f t="shared" ref="B84:I84" si="6">B70</f>
        <v>Average Share Holder Equity</v>
      </c>
      <c r="C84" s="23">
        <f t="shared" si="6"/>
        <v>65199</v>
      </c>
      <c r="D84" s="23">
        <f t="shared" si="6"/>
        <v>70900.5</v>
      </c>
      <c r="E84" s="23">
        <f t="shared" si="6"/>
        <v>75850.5</v>
      </c>
      <c r="F84" s="23">
        <f t="shared" si="6"/>
        <v>75378.5</v>
      </c>
      <c r="G84" s="23">
        <f t="shared" si="6"/>
        <v>81761.5</v>
      </c>
      <c r="H84" s="23">
        <f t="shared" si="6"/>
        <v>91967</v>
      </c>
      <c r="I84" s="23">
        <f t="shared" si="6"/>
        <v>94335</v>
      </c>
    </row>
    <row r="85" spans="2:9" ht="15" customHeight="1" x14ac:dyDescent="0.2">
      <c r="B85" s="100" t="s">
        <v>329</v>
      </c>
      <c r="C85" s="102">
        <f t="shared" ref="C85:I85" si="7">C83/C84</f>
        <v>1.3486863295449316</v>
      </c>
      <c r="D85" s="102">
        <f t="shared" si="7"/>
        <v>1.4055683669367636</v>
      </c>
      <c r="E85" s="102">
        <f t="shared" si="7"/>
        <v>1.4781708756039842</v>
      </c>
      <c r="F85" s="102">
        <f t="shared" si="7"/>
        <v>1.6007548571542283</v>
      </c>
      <c r="G85" s="102">
        <f t="shared" si="7"/>
        <v>1.5937574530799949</v>
      </c>
      <c r="H85" s="102">
        <f t="shared" si="7"/>
        <v>1.5430263029130014</v>
      </c>
      <c r="I85" s="102">
        <f t="shared" si="7"/>
        <v>1.6011183547993852</v>
      </c>
    </row>
    <row r="87" spans="2:9" ht="15" customHeight="1" x14ac:dyDescent="0.2">
      <c r="B87" s="100" t="s">
        <v>330</v>
      </c>
      <c r="C87" s="101">
        <f t="shared" ref="C87:I87" si="8">C77*C81*C85</f>
        <v>0.25451310602923355</v>
      </c>
      <c r="D87" s="101">
        <f t="shared" si="8"/>
        <v>0.27293178468417012</v>
      </c>
      <c r="E87" s="101">
        <f t="shared" si="8"/>
        <v>0.29149445290406789</v>
      </c>
      <c r="F87" s="101">
        <f t="shared" si="8"/>
        <v>0.31965348209370048</v>
      </c>
      <c r="G87" s="101">
        <f t="shared" si="8"/>
        <v>0.32084783180347726</v>
      </c>
      <c r="H87" s="101">
        <f t="shared" si="8"/>
        <v>0.29046288342557652</v>
      </c>
      <c r="I87" s="101">
        <f t="shared" si="8"/>
        <v>0.31207929188530242</v>
      </c>
    </row>
    <row r="89" spans="2:9" ht="15.75" customHeight="1" x14ac:dyDescent="0.2">
      <c r="B89" s="7" t="s">
        <v>331</v>
      </c>
      <c r="C89" s="7"/>
      <c r="D89" s="7"/>
      <c r="E89" s="7"/>
      <c r="F89" s="7"/>
      <c r="G89" s="7"/>
      <c r="H89" s="7"/>
      <c r="I89" s="7"/>
    </row>
    <row r="90" spans="2:9" ht="15" customHeight="1" x14ac:dyDescent="0.2">
      <c r="C90" s="99">
        <f t="shared" ref="C90:I91" si="9">C68</f>
        <v>43921</v>
      </c>
      <c r="D90" s="99">
        <f t="shared" si="9"/>
        <v>44286</v>
      </c>
      <c r="E90" s="99">
        <f t="shared" si="9"/>
        <v>44651</v>
      </c>
      <c r="F90" s="99">
        <f t="shared" si="9"/>
        <v>45016</v>
      </c>
      <c r="G90" s="99">
        <f t="shared" si="9"/>
        <v>45382</v>
      </c>
      <c r="H90" s="99">
        <f t="shared" si="9"/>
        <v>45747</v>
      </c>
      <c r="I90" s="99">
        <f t="shared" si="9"/>
        <v>46112</v>
      </c>
    </row>
    <row r="91" spans="2:9" ht="15" customHeight="1" x14ac:dyDescent="0.2">
      <c r="B91" t="s">
        <v>194</v>
      </c>
      <c r="C91" s="23">
        <f t="shared" si="9"/>
        <v>16594</v>
      </c>
      <c r="D91" s="23">
        <f t="shared" si="9"/>
        <v>19351</v>
      </c>
      <c r="E91" s="23">
        <f t="shared" si="9"/>
        <v>22110</v>
      </c>
      <c r="F91" s="23">
        <f t="shared" si="9"/>
        <v>24095</v>
      </c>
      <c r="G91" s="23">
        <f t="shared" si="9"/>
        <v>26233</v>
      </c>
      <c r="H91" s="23">
        <f t="shared" si="9"/>
        <v>26713</v>
      </c>
      <c r="I91" s="23">
        <f t="shared" si="9"/>
        <v>29440</v>
      </c>
    </row>
    <row r="92" spans="2:9" ht="15" customHeight="1" x14ac:dyDescent="0.2">
      <c r="B92" t="str">
        <f t="shared" ref="B92:I92" si="10">B80</f>
        <v>Average Total Asset</v>
      </c>
      <c r="C92" s="23">
        <f t="shared" si="10"/>
        <v>87933</v>
      </c>
      <c r="D92" s="23">
        <f t="shared" si="10"/>
        <v>99655.5</v>
      </c>
      <c r="E92" s="23">
        <f t="shared" si="10"/>
        <v>112120</v>
      </c>
      <c r="F92" s="23">
        <f t="shared" si="10"/>
        <v>120662.5</v>
      </c>
      <c r="G92" s="23">
        <f t="shared" si="10"/>
        <v>130308</v>
      </c>
      <c r="H92" s="23">
        <f t="shared" si="10"/>
        <v>141907.5</v>
      </c>
      <c r="I92" s="23">
        <f t="shared" si="10"/>
        <v>151041.5</v>
      </c>
    </row>
    <row r="93" spans="2:9" ht="15" customHeight="1" x14ac:dyDescent="0.2">
      <c r="B93" s="100" t="s">
        <v>331</v>
      </c>
      <c r="C93" s="101">
        <f t="shared" ref="C93:I93" si="11">C91/C92</f>
        <v>0.18871186016626296</v>
      </c>
      <c r="D93" s="101">
        <f t="shared" si="11"/>
        <v>0.1941789464705912</v>
      </c>
      <c r="E93" s="101">
        <f t="shared" si="11"/>
        <v>0.19719942918301819</v>
      </c>
      <c r="F93" s="101">
        <f t="shared" si="11"/>
        <v>0.19968921578783796</v>
      </c>
      <c r="G93" s="101">
        <f t="shared" si="11"/>
        <v>0.20131534518218375</v>
      </c>
      <c r="H93" s="101">
        <f t="shared" si="11"/>
        <v>0.18824234096154185</v>
      </c>
      <c r="I93" s="101">
        <f t="shared" si="11"/>
        <v>0.19491331852504112</v>
      </c>
    </row>
    <row r="95" spans="2:9" ht="15.75" customHeight="1" x14ac:dyDescent="0.2">
      <c r="B95" s="7" t="s">
        <v>332</v>
      </c>
      <c r="C95" s="7"/>
      <c r="D95" s="7"/>
      <c r="E95" s="7"/>
      <c r="F95" s="7"/>
      <c r="G95" s="7"/>
      <c r="H95" s="7"/>
      <c r="I95" s="7"/>
    </row>
    <row r="96" spans="2:9" ht="15" customHeight="1" x14ac:dyDescent="0.2">
      <c r="C96" s="71">
        <f t="shared" ref="C96:I97" si="12">C90</f>
        <v>43921</v>
      </c>
      <c r="D96" s="71">
        <f t="shared" si="12"/>
        <v>44286</v>
      </c>
      <c r="E96" s="71">
        <f t="shared" si="12"/>
        <v>44651</v>
      </c>
      <c r="F96" s="71">
        <f t="shared" si="12"/>
        <v>45016</v>
      </c>
      <c r="G96" s="71">
        <f t="shared" si="12"/>
        <v>45382</v>
      </c>
      <c r="H96" s="71">
        <f t="shared" si="12"/>
        <v>45747</v>
      </c>
      <c r="I96" s="71">
        <f t="shared" si="12"/>
        <v>46112</v>
      </c>
    </row>
    <row r="97" spans="2:9" ht="15" customHeight="1" x14ac:dyDescent="0.2">
      <c r="B97" t="str">
        <f>B91</f>
        <v>Net Profit</v>
      </c>
      <c r="C97" s="23">
        <f t="shared" si="12"/>
        <v>16594</v>
      </c>
      <c r="D97" s="23">
        <f t="shared" si="12"/>
        <v>19351</v>
      </c>
      <c r="E97" s="23">
        <f t="shared" si="12"/>
        <v>22110</v>
      </c>
      <c r="F97" s="23">
        <f t="shared" si="12"/>
        <v>24095</v>
      </c>
      <c r="G97" s="23">
        <f t="shared" si="12"/>
        <v>26233</v>
      </c>
      <c r="H97" s="23">
        <f t="shared" si="12"/>
        <v>26713</v>
      </c>
      <c r="I97" s="23">
        <f t="shared" si="12"/>
        <v>29440</v>
      </c>
    </row>
    <row r="98" spans="2:9" ht="15" customHeight="1" x14ac:dyDescent="0.2">
      <c r="B98" t="s">
        <v>325</v>
      </c>
      <c r="C98" s="23">
        <f t="shared" ref="C98:I98" si="13">C79</f>
        <v>90791</v>
      </c>
      <c r="D98" s="23">
        <f t="shared" si="13"/>
        <v>100472</v>
      </c>
      <c r="E98" s="23">
        <f t="shared" si="13"/>
        <v>121641</v>
      </c>
      <c r="F98" s="23">
        <f t="shared" si="13"/>
        <v>146767</v>
      </c>
      <c r="G98" s="23">
        <f t="shared" si="13"/>
        <v>153670</v>
      </c>
      <c r="H98" s="23">
        <f t="shared" si="13"/>
        <v>162990</v>
      </c>
      <c r="I98" s="23">
        <f t="shared" si="13"/>
        <v>178650</v>
      </c>
    </row>
    <row r="99" spans="2:9" ht="15" customHeight="1" x14ac:dyDescent="0.2">
      <c r="B99" s="100" t="s">
        <v>326</v>
      </c>
      <c r="C99" s="101">
        <f t="shared" ref="C99:I99" si="14">C97/C98</f>
        <v>0.182771420074677</v>
      </c>
      <c r="D99" s="101">
        <f t="shared" si="14"/>
        <v>0.19260092364041723</v>
      </c>
      <c r="E99" s="101">
        <f t="shared" si="14"/>
        <v>0.18176437221002786</v>
      </c>
      <c r="F99" s="101">
        <f t="shared" si="14"/>
        <v>0.16417178248516356</v>
      </c>
      <c r="G99" s="101">
        <f t="shared" si="14"/>
        <v>0.17070996290752913</v>
      </c>
      <c r="H99" s="101">
        <f t="shared" si="14"/>
        <v>0.16389349039818393</v>
      </c>
      <c r="I99" s="101">
        <f t="shared" si="14"/>
        <v>0.16479149174363281</v>
      </c>
    </row>
    <row r="101" spans="2:9" ht="15" customHeight="1" x14ac:dyDescent="0.2">
      <c r="B101" t="s">
        <v>325</v>
      </c>
      <c r="C101" s="23">
        <f t="shared" ref="C101:I101" si="15">C98</f>
        <v>90791</v>
      </c>
      <c r="D101" s="23">
        <f t="shared" si="15"/>
        <v>100472</v>
      </c>
      <c r="E101" s="23">
        <f t="shared" si="15"/>
        <v>121641</v>
      </c>
      <c r="F101" s="23">
        <f t="shared" si="15"/>
        <v>146767</v>
      </c>
      <c r="G101" s="23">
        <f t="shared" si="15"/>
        <v>153670</v>
      </c>
      <c r="H101" s="23">
        <f t="shared" si="15"/>
        <v>162990</v>
      </c>
      <c r="I101" s="23">
        <f t="shared" si="15"/>
        <v>178650</v>
      </c>
    </row>
    <row r="102" spans="2:9" ht="15" customHeight="1" x14ac:dyDescent="0.2">
      <c r="B102" t="s">
        <v>327</v>
      </c>
      <c r="C102" s="23">
        <f t="shared" ref="C102:I102" si="16">C92</f>
        <v>87933</v>
      </c>
      <c r="D102" s="23">
        <f t="shared" si="16"/>
        <v>99655.5</v>
      </c>
      <c r="E102" s="23">
        <f t="shared" si="16"/>
        <v>112120</v>
      </c>
      <c r="F102" s="23">
        <f t="shared" si="16"/>
        <v>120662.5</v>
      </c>
      <c r="G102" s="23">
        <f t="shared" si="16"/>
        <v>130308</v>
      </c>
      <c r="H102" s="23">
        <f t="shared" si="16"/>
        <v>141907.5</v>
      </c>
      <c r="I102" s="23">
        <f t="shared" si="16"/>
        <v>151041.5</v>
      </c>
    </row>
    <row r="103" spans="2:9" ht="15" customHeight="1" x14ac:dyDescent="0.2">
      <c r="B103" s="100" t="s">
        <v>328</v>
      </c>
      <c r="C103" s="102">
        <f t="shared" ref="C103:I103" si="17">C101/C102</f>
        <v>1.0325020185823297</v>
      </c>
      <c r="D103" s="102">
        <f t="shared" si="17"/>
        <v>1.0081932256624071</v>
      </c>
      <c r="E103" s="102">
        <f t="shared" si="17"/>
        <v>1.0849179450588655</v>
      </c>
      <c r="F103" s="102">
        <f t="shared" si="17"/>
        <v>1.216343105770227</v>
      </c>
      <c r="G103" s="102">
        <f t="shared" si="17"/>
        <v>1.1792829296743101</v>
      </c>
      <c r="H103" s="102">
        <f t="shared" si="17"/>
        <v>1.1485650864119232</v>
      </c>
      <c r="I103" s="102">
        <f t="shared" si="17"/>
        <v>1.1827875120413927</v>
      </c>
    </row>
    <row r="105" spans="2:9" ht="15" customHeight="1" x14ac:dyDescent="0.2">
      <c r="B105" s="100" t="s">
        <v>333</v>
      </c>
      <c r="C105" s="102">
        <f t="shared" ref="C105:I105" si="18">C99*C103</f>
        <v>0.18871186016626296</v>
      </c>
      <c r="D105" s="102">
        <f t="shared" si="18"/>
        <v>0.1941789464705912</v>
      </c>
      <c r="E105" s="102">
        <f t="shared" si="18"/>
        <v>0.19719942918301819</v>
      </c>
      <c r="F105" s="102">
        <f t="shared" si="18"/>
        <v>0.19968921578783799</v>
      </c>
      <c r="G105" s="102">
        <f t="shared" si="18"/>
        <v>0.20131534518218377</v>
      </c>
      <c r="H105" s="102">
        <f t="shared" si="18"/>
        <v>0.18824234096154183</v>
      </c>
      <c r="I105" s="102">
        <f t="shared" si="18"/>
        <v>0.19491331852504115</v>
      </c>
    </row>
    <row r="126" spans="2:10" ht="15" customHeight="1" x14ac:dyDescent="0.2">
      <c r="B126" s="94"/>
      <c r="C126" s="94"/>
      <c r="D126" s="94"/>
      <c r="E126" s="94"/>
      <c r="F126" s="94"/>
      <c r="G126" s="94"/>
      <c r="H126" s="94"/>
      <c r="I126" s="94"/>
      <c r="J126" s="94"/>
    </row>
  </sheetData>
  <mergeCells count="5">
    <mergeCell ref="B11:I14"/>
    <mergeCell ref="B67:I67"/>
    <mergeCell ref="B73:I73"/>
    <mergeCell ref="B89:I89"/>
    <mergeCell ref="B95:I95"/>
  </mergeCells>
  <printOptions verticalCentered="1"/>
  <pageMargins left="0.6" right="0.6" top="0.6" bottom="0.6" header="0.511811023622047" footer="0.511811023622047"/>
  <pageSetup paperSize="9" scale="64" orientation="portrait" horizontalDpi="300" verticalDpi="300"/>
  <rowBreaks count="1" manualBreakCount="1">
    <brk id="60" max="16383" man="1"/>
  </rowBreak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B1:L103"/>
  <sheetViews>
    <sheetView showGridLines="0" topLeftCell="A33" zoomScale="90" zoomScaleNormal="90" workbookViewId="0">
      <selection activeCell="N66" sqref="N66"/>
    </sheetView>
  </sheetViews>
  <sheetFormatPr baseColWidth="10" defaultColWidth="10.6640625" defaultRowHeight="15" x14ac:dyDescent="0.2"/>
  <cols>
    <col min="1" max="1" width="2.33203125" customWidth="1"/>
    <col min="2" max="2" width="40.6640625" customWidth="1"/>
    <col min="3" max="3" width="13.33203125" customWidth="1"/>
  </cols>
  <sheetData>
    <row r="1" spans="2:10" ht="15" customHeight="1" x14ac:dyDescent="0.2">
      <c r="B1" s="94"/>
      <c r="C1" s="94"/>
      <c r="D1" s="94"/>
      <c r="E1" s="94"/>
      <c r="F1" s="94"/>
      <c r="G1" s="94"/>
      <c r="H1" s="94"/>
      <c r="I1" s="94"/>
      <c r="J1" s="94"/>
    </row>
    <row r="3" spans="2:10" ht="33.75" customHeight="1" x14ac:dyDescent="0.35">
      <c r="B3" s="95" t="str">
        <f>'Data Sheet'!B1</f>
        <v>INFOSYS LTD</v>
      </c>
    </row>
    <row r="6" spans="2:10" ht="15" customHeight="1" x14ac:dyDescent="0.2">
      <c r="B6" t="s">
        <v>317</v>
      </c>
    </row>
    <row r="7" spans="2:10" ht="30" customHeight="1" x14ac:dyDescent="0.25">
      <c r="B7" s="96" t="str">
        <f>CONCATENATE("  ","INR "&amp;'Data Sheet'!B8)</f>
        <v xml:space="preserve">  INR 1121</v>
      </c>
    </row>
    <row r="8" spans="2:10" ht="15" customHeight="1" x14ac:dyDescent="0.2">
      <c r="B8" t="s">
        <v>334</v>
      </c>
    </row>
    <row r="9" spans="2:10" ht="6" customHeight="1" x14ac:dyDescent="0.2">
      <c r="B9" s="97"/>
      <c r="C9" s="97"/>
      <c r="D9" s="97"/>
      <c r="E9" s="97"/>
      <c r="F9" s="97"/>
      <c r="G9" s="97"/>
      <c r="H9" s="97"/>
      <c r="I9" s="97"/>
    </row>
    <row r="10" spans="2:10" ht="18.75" customHeight="1" x14ac:dyDescent="0.25">
      <c r="B10" s="6" t="s">
        <v>335</v>
      </c>
      <c r="C10" s="6"/>
      <c r="D10" s="6"/>
      <c r="E10" s="6"/>
      <c r="F10" s="6"/>
      <c r="G10" s="6"/>
      <c r="H10" s="6"/>
      <c r="I10" s="6"/>
    </row>
    <row r="11" spans="2:10" ht="16.5" customHeight="1" x14ac:dyDescent="0.2">
      <c r="B11" s="8" t="s">
        <v>320</v>
      </c>
      <c r="C11" s="8"/>
      <c r="D11" s="8"/>
      <c r="E11" s="8"/>
      <c r="F11" s="8"/>
      <c r="G11" s="8"/>
      <c r="H11" s="8"/>
      <c r="I11" s="8"/>
    </row>
    <row r="12" spans="2:10" ht="19.5" customHeight="1" x14ac:dyDescent="0.2">
      <c r="B12" s="8"/>
      <c r="C12" s="8"/>
      <c r="D12" s="8"/>
      <c r="E12" s="8"/>
      <c r="F12" s="8"/>
      <c r="G12" s="8"/>
      <c r="H12" s="8"/>
      <c r="I12" s="8"/>
    </row>
    <row r="13" spans="2:10" ht="15" customHeight="1" x14ac:dyDescent="0.2">
      <c r="B13" s="8"/>
      <c r="C13" s="8"/>
      <c r="D13" s="8"/>
      <c r="E13" s="8"/>
      <c r="F13" s="8"/>
      <c r="G13" s="8"/>
      <c r="H13" s="8"/>
      <c r="I13" s="8"/>
    </row>
    <row r="14" spans="2:10" ht="37.5" customHeight="1" x14ac:dyDescent="0.2">
      <c r="B14" s="8"/>
      <c r="C14" s="8"/>
      <c r="D14" s="8"/>
      <c r="E14" s="8"/>
      <c r="F14" s="8"/>
      <c r="G14" s="8"/>
      <c r="H14" s="8"/>
      <c r="I14" s="8"/>
    </row>
    <row r="15" spans="2:10" ht="6" customHeight="1" x14ac:dyDescent="0.2"/>
    <row r="16" spans="2:10" ht="15.75" customHeight="1" x14ac:dyDescent="0.2">
      <c r="B16" s="98" t="s">
        <v>321</v>
      </c>
    </row>
    <row r="17" spans="2:2" ht="15.75" customHeight="1" x14ac:dyDescent="0.2">
      <c r="B17" s="98"/>
    </row>
    <row r="58" spans="2:10" ht="15.75" customHeight="1" x14ac:dyDescent="0.2"/>
    <row r="60" spans="2:10" ht="15" customHeight="1" x14ac:dyDescent="0.2">
      <c r="B60" s="94"/>
      <c r="C60" s="94"/>
      <c r="D60" s="94"/>
      <c r="E60" s="94"/>
      <c r="F60" s="94"/>
      <c r="G60" s="94"/>
      <c r="H60" s="94"/>
      <c r="I60" s="94"/>
      <c r="J60" s="94"/>
    </row>
    <row r="62" spans="2:10" ht="15" customHeight="1" x14ac:dyDescent="0.2">
      <c r="B62" s="94"/>
      <c r="C62" s="94"/>
      <c r="D62" s="94"/>
      <c r="E62" s="94"/>
      <c r="F62" s="94"/>
      <c r="G62" s="94"/>
      <c r="H62" s="94"/>
      <c r="I62" s="94"/>
      <c r="J62" s="94"/>
    </row>
    <row r="67" spans="2:12" ht="15.75" customHeight="1" x14ac:dyDescent="0.2">
      <c r="B67" s="7" t="s">
        <v>336</v>
      </c>
      <c r="C67" s="7"/>
      <c r="D67" s="7"/>
      <c r="E67" s="7"/>
      <c r="F67" s="7"/>
      <c r="G67" s="7"/>
      <c r="H67" s="7"/>
      <c r="I67" s="7"/>
    </row>
    <row r="68" spans="2:12" ht="15" customHeight="1" x14ac:dyDescent="0.2">
      <c r="C68" s="99">
        <f>HistoricalFS!F3</f>
        <v>43921</v>
      </c>
      <c r="D68" s="99">
        <f>HistoricalFS!G3</f>
        <v>44286</v>
      </c>
      <c r="E68" s="99">
        <f>HistoricalFS!H3</f>
        <v>44651</v>
      </c>
      <c r="F68" s="99">
        <f>HistoricalFS!I3</f>
        <v>45016</v>
      </c>
      <c r="G68" s="99">
        <f>HistoricalFS!J3</f>
        <v>45382</v>
      </c>
      <c r="H68" s="99">
        <f>HistoricalFS!K3</f>
        <v>45747</v>
      </c>
      <c r="I68" s="99">
        <f>HistoricalFS!L3</f>
        <v>46112</v>
      </c>
    </row>
    <row r="69" spans="2:12" ht="15" customHeight="1" x14ac:dyDescent="0.2">
      <c r="B69" t="s">
        <v>337</v>
      </c>
      <c r="C69" s="23">
        <f>'Data Sheet'!E65-'Data Sheet'!E60</f>
        <v>36548</v>
      </c>
      <c r="D69" s="23">
        <f>'Data Sheet'!F65-'Data Sheet'!F60</f>
        <v>41044</v>
      </c>
      <c r="E69" s="23">
        <f>'Data Sheet'!G65-'Data Sheet'!G60</f>
        <v>34284</v>
      </c>
      <c r="F69" s="23">
        <f>'Data Sheet'!H65-'Data Sheet'!H60</f>
        <v>34715</v>
      </c>
      <c r="G69" s="23">
        <f>'Data Sheet'!I65-'Data Sheet'!I60</f>
        <v>43937</v>
      </c>
      <c r="H69" s="23">
        <f>'Data Sheet'!J65-'Data Sheet'!J60</f>
        <v>48729</v>
      </c>
      <c r="I69" s="23">
        <f>'Data Sheet'!K65-'Data Sheet'!K60</f>
        <v>45852</v>
      </c>
      <c r="L69" s="103"/>
    </row>
    <row r="70" spans="2:12" ht="15" customHeight="1" x14ac:dyDescent="0.2">
      <c r="B70" t="s">
        <v>338</v>
      </c>
      <c r="C70" s="23">
        <f>'Data Sheet'!E66</f>
        <v>91800</v>
      </c>
      <c r="D70" s="23">
        <f>'Data Sheet'!F66</f>
        <v>107511</v>
      </c>
      <c r="E70" s="23">
        <f>'Data Sheet'!G66</f>
        <v>116729</v>
      </c>
      <c r="F70" s="23">
        <f>'Data Sheet'!H66</f>
        <v>124596</v>
      </c>
      <c r="G70" s="23">
        <f>'Data Sheet'!I66</f>
        <v>136020</v>
      </c>
      <c r="H70" s="23">
        <f>'Data Sheet'!J66</f>
        <v>147795</v>
      </c>
      <c r="I70" s="23">
        <f>'Data Sheet'!K66</f>
        <v>154288</v>
      </c>
    </row>
    <row r="71" spans="2:12" ht="15" customHeight="1" x14ac:dyDescent="0.2">
      <c r="B71" s="100" t="s">
        <v>339</v>
      </c>
      <c r="C71" s="101">
        <f t="shared" ref="C71:I71" si="0">C69/C70</f>
        <v>0.39812636165577342</v>
      </c>
      <c r="D71" s="101">
        <f t="shared" si="0"/>
        <v>0.38176558677716699</v>
      </c>
      <c r="E71" s="101">
        <f t="shared" si="0"/>
        <v>0.29370593425798214</v>
      </c>
      <c r="F71" s="101">
        <f t="shared" si="0"/>
        <v>0.27862050146072104</v>
      </c>
      <c r="G71" s="101">
        <f t="shared" si="0"/>
        <v>0.32301867372445231</v>
      </c>
      <c r="H71" s="101">
        <f t="shared" si="0"/>
        <v>0.32970668831827871</v>
      </c>
      <c r="I71" s="101">
        <f t="shared" si="0"/>
        <v>0.29718448615576065</v>
      </c>
    </row>
    <row r="73" spans="2:12" ht="15.75" customHeight="1" x14ac:dyDescent="0.2">
      <c r="B73" s="7" t="s">
        <v>340</v>
      </c>
      <c r="C73" s="7"/>
      <c r="D73" s="7"/>
      <c r="E73" s="7"/>
      <c r="F73" s="7"/>
      <c r="G73" s="7"/>
      <c r="H73" s="7"/>
      <c r="I73" s="7"/>
    </row>
    <row r="74" spans="2:12" ht="15" customHeight="1" x14ac:dyDescent="0.2">
      <c r="C74" s="71">
        <f t="shared" ref="C74:I74" si="1">C68</f>
        <v>43921</v>
      </c>
      <c r="D74" s="71">
        <f t="shared" si="1"/>
        <v>44286</v>
      </c>
      <c r="E74" s="71">
        <f t="shared" si="1"/>
        <v>44651</v>
      </c>
      <c r="F74" s="71">
        <f t="shared" si="1"/>
        <v>45016</v>
      </c>
      <c r="G74" s="71">
        <f t="shared" si="1"/>
        <v>45382</v>
      </c>
      <c r="H74" s="71">
        <f t="shared" si="1"/>
        <v>45747</v>
      </c>
      <c r="I74" s="71">
        <f t="shared" si="1"/>
        <v>46112</v>
      </c>
    </row>
    <row r="75" spans="2:12" ht="15" customHeight="1" x14ac:dyDescent="0.2">
      <c r="B75" t="s">
        <v>341</v>
      </c>
      <c r="C75" s="23">
        <f>'Data Sheet'!E78</f>
        <v>56309</v>
      </c>
      <c r="D75" s="23">
        <f>'Data Sheet'!F78</f>
        <v>62643</v>
      </c>
      <c r="E75" s="23">
        <f>'Data Sheet'!G78</f>
        <v>61313</v>
      </c>
      <c r="F75" s="23">
        <f>'Data Sheet'!H78</f>
        <v>58957</v>
      </c>
      <c r="G75" s="23">
        <f>'Data Sheet'!I78</f>
        <v>68405</v>
      </c>
      <c r="H75" s="23">
        <f>'Data Sheet'!J78</f>
        <v>78627</v>
      </c>
      <c r="I75" s="23">
        <f>'Data Sheet'!K78</f>
        <v>76503</v>
      </c>
    </row>
    <row r="76" spans="2:12" ht="15" customHeight="1" x14ac:dyDescent="0.2">
      <c r="B76" t="s">
        <v>217</v>
      </c>
      <c r="C76" s="23">
        <f t="shared" ref="C76:I76" si="2">C70</f>
        <v>91800</v>
      </c>
      <c r="D76" s="23">
        <f t="shared" si="2"/>
        <v>107511</v>
      </c>
      <c r="E76" s="23">
        <f t="shared" si="2"/>
        <v>116729</v>
      </c>
      <c r="F76" s="23">
        <f t="shared" si="2"/>
        <v>124596</v>
      </c>
      <c r="G76" s="23">
        <f t="shared" si="2"/>
        <v>136020</v>
      </c>
      <c r="H76" s="23">
        <f t="shared" si="2"/>
        <v>147795</v>
      </c>
      <c r="I76" s="23">
        <f t="shared" si="2"/>
        <v>154288</v>
      </c>
    </row>
    <row r="77" spans="2:12" ht="15" customHeight="1" x14ac:dyDescent="0.2">
      <c r="B77" s="100" t="s">
        <v>342</v>
      </c>
      <c r="C77" s="101">
        <f t="shared" ref="C77:I77" si="3">C75/C76</f>
        <v>0.61338779956427014</v>
      </c>
      <c r="D77" s="101">
        <f t="shared" si="3"/>
        <v>0.58266595976225688</v>
      </c>
      <c r="E77" s="101">
        <f t="shared" si="3"/>
        <v>0.52525936142689478</v>
      </c>
      <c r="F77" s="101">
        <f t="shared" si="3"/>
        <v>0.4731853350027288</v>
      </c>
      <c r="G77" s="101">
        <f t="shared" si="3"/>
        <v>0.50290398470813114</v>
      </c>
      <c r="H77" s="101">
        <f t="shared" si="3"/>
        <v>0.53200040596772558</v>
      </c>
      <c r="I77" s="101">
        <f t="shared" si="3"/>
        <v>0.49584543191952712</v>
      </c>
    </row>
    <row r="79" spans="2:12" ht="15.75" customHeight="1" x14ac:dyDescent="0.2">
      <c r="B79" s="7" t="s">
        <v>343</v>
      </c>
      <c r="C79" s="7"/>
      <c r="D79" s="7"/>
      <c r="E79" s="7"/>
      <c r="F79" s="7"/>
      <c r="G79" s="7"/>
      <c r="H79" s="7"/>
      <c r="I79" s="7"/>
    </row>
    <row r="80" spans="2:12" ht="15" customHeight="1" x14ac:dyDescent="0.2">
      <c r="B80" t="s">
        <v>344</v>
      </c>
      <c r="C80" s="23">
        <f>HistoricalFS!F18-HistoricalFS!F24</f>
        <v>19374</v>
      </c>
      <c r="D80" s="23">
        <f>HistoricalFS!G18-HistoricalFS!G24</f>
        <v>24622</v>
      </c>
      <c r="E80" s="23">
        <f>HistoricalFS!H18-HistoricalFS!H24</f>
        <v>28015</v>
      </c>
      <c r="F80" s="23">
        <f>HistoricalFS!I18-HistoricalFS!I24</f>
        <v>30905</v>
      </c>
      <c r="G80" s="23">
        <f>HistoricalFS!J18-HistoricalFS!J24</f>
        <v>31747</v>
      </c>
      <c r="H80" s="23">
        <f>HistoricalFS!K18-HistoricalFS!K24</f>
        <v>34424</v>
      </c>
      <c r="I80" s="23">
        <f>HistoricalFS!L18-HistoricalFS!L24</f>
        <v>37378</v>
      </c>
      <c r="K80" s="23"/>
    </row>
    <row r="81" spans="2:9" ht="15" customHeight="1" x14ac:dyDescent="0.2">
      <c r="B81" t="s">
        <v>217</v>
      </c>
      <c r="C81" s="23">
        <f t="shared" ref="C81:I81" si="4">C76</f>
        <v>91800</v>
      </c>
      <c r="D81" s="23">
        <f t="shared" si="4"/>
        <v>107511</v>
      </c>
      <c r="E81" s="23">
        <f t="shared" si="4"/>
        <v>116729</v>
      </c>
      <c r="F81" s="23">
        <f t="shared" si="4"/>
        <v>124596</v>
      </c>
      <c r="G81" s="23">
        <f t="shared" si="4"/>
        <v>136020</v>
      </c>
      <c r="H81" s="23">
        <f t="shared" si="4"/>
        <v>147795</v>
      </c>
      <c r="I81" s="23">
        <f t="shared" si="4"/>
        <v>154288</v>
      </c>
    </row>
    <row r="82" spans="2:9" ht="15" customHeight="1" x14ac:dyDescent="0.2">
      <c r="B82" s="100" t="s">
        <v>345</v>
      </c>
      <c r="C82" s="101">
        <f t="shared" ref="C82:I82" si="5">C80/C81</f>
        <v>0.21104575163398692</v>
      </c>
      <c r="D82" s="101">
        <f t="shared" si="5"/>
        <v>0.22901842602152339</v>
      </c>
      <c r="E82" s="101">
        <f t="shared" si="5"/>
        <v>0.24000034267405701</v>
      </c>
      <c r="F82" s="101">
        <f t="shared" si="5"/>
        <v>0.24804167067963659</v>
      </c>
      <c r="G82" s="101">
        <f t="shared" si="5"/>
        <v>0.23339950007351859</v>
      </c>
      <c r="H82" s="101">
        <f t="shared" si="5"/>
        <v>0.23291721641462837</v>
      </c>
      <c r="I82" s="101">
        <f t="shared" si="5"/>
        <v>0.24226122575961836</v>
      </c>
    </row>
    <row r="84" spans="2:9" ht="15.75" customHeight="1" x14ac:dyDescent="0.2">
      <c r="B84" s="7" t="s">
        <v>346</v>
      </c>
      <c r="C84" s="7"/>
      <c r="D84" s="7"/>
      <c r="E84" s="7"/>
      <c r="F84" s="7"/>
      <c r="G84" s="7"/>
      <c r="H84" s="7"/>
      <c r="I84" s="7"/>
    </row>
    <row r="85" spans="2:9" ht="15" customHeight="1" x14ac:dyDescent="0.2">
      <c r="B85" t="s">
        <v>347</v>
      </c>
      <c r="C85" s="23">
        <f>'Data Sheet'!E70*'Data Sheet'!E90/10000000</f>
        <v>272044.31842149998</v>
      </c>
      <c r="D85" s="23">
        <f>'Data Sheet'!F70*'Data Sheet'!F90/10000000</f>
        <v>580757.21412577003</v>
      </c>
      <c r="E85" s="23">
        <f>'Data Sheet'!G70*'Data Sheet'!G90/10000000</f>
        <v>799544.670366365</v>
      </c>
      <c r="F85" s="23">
        <f>'Data Sheet'!H70*'Data Sheet'!H90/10000000</f>
        <v>590655.51375037502</v>
      </c>
      <c r="G85" s="23">
        <f>'Data Sheet'!I70*'Data Sheet'!I90/10000000</f>
        <v>620185.30487617501</v>
      </c>
      <c r="H85" s="23">
        <f>'Data Sheet'!J70*'Data Sheet'!J90/10000000</f>
        <v>650815.71638532006</v>
      </c>
      <c r="I85" s="23">
        <f>'Data Sheet'!K70*'Data Sheet'!K90/10000000</f>
        <v>506110.41794871993</v>
      </c>
    </row>
    <row r="86" spans="2:9" ht="15" customHeight="1" x14ac:dyDescent="0.2">
      <c r="B86" t="s">
        <v>207</v>
      </c>
      <c r="C86" s="23">
        <f>'Data Sheet'!E61</f>
        <v>91800</v>
      </c>
      <c r="D86" s="23">
        <f>'Data Sheet'!F61</f>
        <v>107511</v>
      </c>
      <c r="E86" s="23">
        <f>'Data Sheet'!G61</f>
        <v>116729</v>
      </c>
      <c r="F86" s="23">
        <f>'Data Sheet'!H61</f>
        <v>124596</v>
      </c>
      <c r="G86" s="23">
        <f>'Data Sheet'!I61</f>
        <v>136020</v>
      </c>
      <c r="H86" s="23">
        <f>'Data Sheet'!J61</f>
        <v>147795</v>
      </c>
      <c r="I86" s="23">
        <f>'Data Sheet'!K61</f>
        <v>154288</v>
      </c>
    </row>
    <row r="87" spans="2:9" ht="15" customHeight="1" x14ac:dyDescent="0.2">
      <c r="B87" s="100" t="s">
        <v>348</v>
      </c>
      <c r="C87" s="101">
        <f t="shared" ref="C87:I87" si="6">C85/C86</f>
        <v>2.9634457344389977</v>
      </c>
      <c r="D87" s="101">
        <f t="shared" si="6"/>
        <v>5.4018399431292616</v>
      </c>
      <c r="E87" s="101">
        <f t="shared" si="6"/>
        <v>6.8495803987557933</v>
      </c>
      <c r="F87" s="101">
        <f t="shared" si="6"/>
        <v>4.7405656180806366</v>
      </c>
      <c r="G87" s="101">
        <f t="shared" si="6"/>
        <v>4.5595155482735992</v>
      </c>
      <c r="H87" s="101">
        <f t="shared" si="6"/>
        <v>4.4035029357239424</v>
      </c>
      <c r="I87" s="101">
        <f t="shared" si="6"/>
        <v>3.2802967045312657</v>
      </c>
    </row>
    <row r="89" spans="2:9" ht="15.75" customHeight="1" x14ac:dyDescent="0.2">
      <c r="B89" s="7" t="s">
        <v>349</v>
      </c>
      <c r="C89" s="7"/>
      <c r="D89" s="7"/>
      <c r="E89" s="7"/>
      <c r="F89" s="7"/>
      <c r="G89" s="7"/>
      <c r="H89" s="7"/>
      <c r="I89" s="7"/>
    </row>
    <row r="90" spans="2:9" ht="15" customHeight="1" x14ac:dyDescent="0.2">
      <c r="C90" s="99">
        <f t="shared" ref="C90:I90" si="7">C68</f>
        <v>43921</v>
      </c>
      <c r="D90" s="99">
        <f t="shared" si="7"/>
        <v>44286</v>
      </c>
      <c r="E90" s="99">
        <f t="shared" si="7"/>
        <v>44651</v>
      </c>
      <c r="F90" s="99">
        <f t="shared" si="7"/>
        <v>45016</v>
      </c>
      <c r="G90" s="99">
        <f t="shared" si="7"/>
        <v>45382</v>
      </c>
      <c r="H90" s="99">
        <f t="shared" si="7"/>
        <v>45747</v>
      </c>
      <c r="I90" s="99">
        <f t="shared" si="7"/>
        <v>46112</v>
      </c>
    </row>
    <row r="91" spans="2:9" ht="15" customHeight="1" x14ac:dyDescent="0.2">
      <c r="B91" t="s">
        <v>350</v>
      </c>
      <c r="C91" s="23">
        <f>'Data Sheet'!E17</f>
        <v>90791</v>
      </c>
      <c r="D91" s="23">
        <f>'Data Sheet'!F17</f>
        <v>100472</v>
      </c>
      <c r="E91" s="23">
        <f>'Data Sheet'!G17</f>
        <v>121641</v>
      </c>
      <c r="F91" s="23">
        <f>'Data Sheet'!H17</f>
        <v>146767</v>
      </c>
      <c r="G91" s="23">
        <f>'Data Sheet'!I17</f>
        <v>153670</v>
      </c>
      <c r="H91" s="23">
        <f>'Data Sheet'!J17</f>
        <v>162990</v>
      </c>
      <c r="I91" s="23">
        <f>'Data Sheet'!K17</f>
        <v>178650</v>
      </c>
    </row>
    <row r="92" spans="2:9" ht="15" customHeight="1" x14ac:dyDescent="0.2">
      <c r="B92" t="str">
        <f t="shared" ref="B92:I92" si="8">B81</f>
        <v>Total Assets</v>
      </c>
      <c r="C92" s="23">
        <f t="shared" si="8"/>
        <v>91800</v>
      </c>
      <c r="D92" s="23">
        <f t="shared" si="8"/>
        <v>107511</v>
      </c>
      <c r="E92" s="23">
        <f t="shared" si="8"/>
        <v>116729</v>
      </c>
      <c r="F92" s="23">
        <f t="shared" si="8"/>
        <v>124596</v>
      </c>
      <c r="G92" s="23">
        <f t="shared" si="8"/>
        <v>136020</v>
      </c>
      <c r="H92" s="23">
        <f t="shared" si="8"/>
        <v>147795</v>
      </c>
      <c r="I92" s="23">
        <f t="shared" si="8"/>
        <v>154288</v>
      </c>
    </row>
    <row r="93" spans="2:9" ht="15" customHeight="1" x14ac:dyDescent="0.2">
      <c r="B93" s="100" t="s">
        <v>351</v>
      </c>
      <c r="C93" s="101">
        <f t="shared" ref="C93:I93" si="9">C91/C92</f>
        <v>0.98900871459694994</v>
      </c>
      <c r="D93" s="101">
        <f t="shared" si="9"/>
        <v>0.9345276297309113</v>
      </c>
      <c r="E93" s="101">
        <f t="shared" si="9"/>
        <v>1.0420803742000702</v>
      </c>
      <c r="F93" s="101">
        <f t="shared" si="9"/>
        <v>1.1779431121384314</v>
      </c>
      <c r="G93" s="101">
        <f t="shared" si="9"/>
        <v>1.1297603293633289</v>
      </c>
      <c r="H93" s="101">
        <f t="shared" si="9"/>
        <v>1.1028113264995434</v>
      </c>
      <c r="I93" s="101">
        <f t="shared" si="9"/>
        <v>1.1578995125998133</v>
      </c>
    </row>
    <row r="95" spans="2:9" ht="15.75" customHeight="1" x14ac:dyDescent="0.2">
      <c r="B95" s="7" t="s">
        <v>352</v>
      </c>
      <c r="C95" s="7"/>
      <c r="D95" s="7"/>
      <c r="E95" s="7"/>
      <c r="F95" s="7"/>
      <c r="G95" s="7"/>
      <c r="H95" s="7"/>
      <c r="I95" s="7"/>
    </row>
    <row r="96" spans="2:9" ht="15" customHeight="1" x14ac:dyDescent="0.2">
      <c r="C96" s="99">
        <f t="shared" ref="C96:I96" si="10">C90</f>
        <v>43921</v>
      </c>
      <c r="D96" s="99">
        <f t="shared" si="10"/>
        <v>44286</v>
      </c>
      <c r="E96" s="99">
        <f t="shared" si="10"/>
        <v>44651</v>
      </c>
      <c r="F96" s="99">
        <f t="shared" si="10"/>
        <v>45016</v>
      </c>
      <c r="G96" s="99">
        <f t="shared" si="10"/>
        <v>45382</v>
      </c>
      <c r="H96" s="99">
        <f t="shared" si="10"/>
        <v>45747</v>
      </c>
      <c r="I96" s="99">
        <f t="shared" si="10"/>
        <v>46112</v>
      </c>
    </row>
    <row r="97" spans="2:10" ht="15" customHeight="1" x14ac:dyDescent="0.2">
      <c r="B97" s="100" t="s">
        <v>353</v>
      </c>
      <c r="C97" s="104">
        <f t="shared" ref="C97:I97" si="11">(C71*1.2)+(C77*1.4)+(C82*3.3)+(C87*0.6)+(C93*1)</f>
        <v>4.8000216890294114</v>
      </c>
      <c r="D97" s="104">
        <f t="shared" si="11"/>
        <v>6.205243449279255</v>
      </c>
      <c r="E97" s="104">
        <f t="shared" si="11"/>
        <v>7.0316399713851645</v>
      </c>
      <c r="F97" s="104">
        <f t="shared" si="11"/>
        <v>5.8376240669862991</v>
      </c>
      <c r="G97" s="104">
        <f t="shared" si="11"/>
        <v>5.7273759956308261</v>
      </c>
      <c r="H97" s="104">
        <f t="shared" si="11"/>
        <v>5.6539884964389326</v>
      </c>
      <c r="I97" s="104">
        <f t="shared" si="11"/>
        <v>4.976344568399564</v>
      </c>
    </row>
    <row r="98" spans="2:10" ht="15" customHeight="1" x14ac:dyDescent="0.2">
      <c r="B98" s="54" t="s">
        <v>354</v>
      </c>
      <c r="C98" s="105" t="str">
        <f t="shared" ref="C98:I98" si="12">IF(C97&lt;1.81,"Distressed",IF(C97&gt;3,"Strong","Grey Zone"))</f>
        <v>Strong</v>
      </c>
      <c r="D98" s="105" t="str">
        <f t="shared" si="12"/>
        <v>Strong</v>
      </c>
      <c r="E98" s="105" t="str">
        <f t="shared" si="12"/>
        <v>Strong</v>
      </c>
      <c r="F98" s="105" t="str">
        <f t="shared" si="12"/>
        <v>Strong</v>
      </c>
      <c r="G98" s="105" t="str">
        <f t="shared" si="12"/>
        <v>Strong</v>
      </c>
      <c r="H98" s="105" t="str">
        <f t="shared" si="12"/>
        <v>Strong</v>
      </c>
      <c r="I98" s="105" t="str">
        <f t="shared" si="12"/>
        <v>Strong</v>
      </c>
    </row>
    <row r="99" spans="2:10" ht="15" customHeight="1" x14ac:dyDescent="0.2">
      <c r="B99" s="106" t="s">
        <v>355</v>
      </c>
    </row>
    <row r="103" spans="2:10" ht="15" customHeight="1" x14ac:dyDescent="0.2">
      <c r="B103" s="94"/>
      <c r="C103" s="94"/>
      <c r="D103" s="94"/>
      <c r="E103" s="94"/>
      <c r="F103" s="94"/>
      <c r="G103" s="94"/>
      <c r="H103" s="94"/>
      <c r="I103" s="94"/>
      <c r="J103" s="94"/>
    </row>
  </sheetData>
  <mergeCells count="8">
    <mergeCell ref="B84:I84"/>
    <mergeCell ref="B89:I89"/>
    <mergeCell ref="B95:I95"/>
    <mergeCell ref="B10:I10"/>
    <mergeCell ref="B11:I14"/>
    <mergeCell ref="B67:I67"/>
    <mergeCell ref="B73:I73"/>
    <mergeCell ref="B79:I79"/>
  </mergeCells>
  <printOptions verticalCentered="1"/>
  <pageMargins left="0.6" right="0.6" top="0.6" bottom="0.6" header="0.511811023622047" footer="0.511811023622047"/>
  <pageSetup paperSize="9" scale="64" orientation="portrait" horizontalDpi="300" verticalDpi="300"/>
  <rowBreaks count="1" manualBreakCount="1">
    <brk id="60" max="16383" man="1"/>
  </rowBreaks>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548235"/>
  </sheetPr>
  <dimension ref="A1:H55"/>
  <sheetViews>
    <sheetView topLeftCell="A22" zoomScaleNormal="100" workbookViewId="0">
      <selection activeCell="B29" sqref="B29"/>
    </sheetView>
  </sheetViews>
  <sheetFormatPr baseColWidth="10" defaultColWidth="8.6640625" defaultRowHeight="15" x14ac:dyDescent="0.2"/>
  <cols>
    <col min="1" max="1" width="34" customWidth="1"/>
    <col min="2" max="2" width="18" customWidth="1"/>
    <col min="3" max="3" width="26" customWidth="1"/>
    <col min="4" max="4" width="18" customWidth="1"/>
    <col min="5" max="5" width="22" customWidth="1"/>
    <col min="6" max="8" width="18" customWidth="1"/>
  </cols>
  <sheetData>
    <row r="1" spans="1:8" ht="17.25" customHeight="1" x14ac:dyDescent="0.2">
      <c r="A1" s="12" t="s">
        <v>356</v>
      </c>
      <c r="B1" s="12"/>
      <c r="C1" s="12"/>
      <c r="D1" s="12"/>
      <c r="E1" s="12"/>
      <c r="F1" s="12"/>
      <c r="G1" s="12"/>
      <c r="H1" s="12"/>
    </row>
    <row r="2" spans="1:8" ht="15" customHeight="1" x14ac:dyDescent="0.2">
      <c r="A2" s="11" t="s">
        <v>357</v>
      </c>
      <c r="B2" s="11"/>
      <c r="C2" s="11"/>
      <c r="D2" s="11"/>
      <c r="E2" s="11"/>
      <c r="F2" s="11"/>
      <c r="G2" s="11"/>
      <c r="H2" s="11"/>
    </row>
    <row r="3" spans="1:8" ht="15" customHeight="1" x14ac:dyDescent="0.2">
      <c r="A3" s="15"/>
      <c r="B3" s="15"/>
      <c r="C3" s="15"/>
      <c r="D3" s="15"/>
      <c r="E3" s="15"/>
      <c r="F3" s="15"/>
      <c r="G3" s="15"/>
      <c r="H3" s="15"/>
    </row>
    <row r="4" spans="1:8" ht="15" customHeight="1" x14ac:dyDescent="0.2">
      <c r="A4" s="16" t="s">
        <v>358</v>
      </c>
      <c r="B4" s="16"/>
      <c r="C4" s="16"/>
      <c r="D4" s="16"/>
      <c r="E4" s="16"/>
      <c r="F4" s="16"/>
      <c r="G4" s="16"/>
      <c r="H4" s="16"/>
    </row>
    <row r="5" spans="1:8" ht="15" customHeight="1" x14ac:dyDescent="0.2">
      <c r="A5" s="15" t="s">
        <v>359</v>
      </c>
      <c r="B5" s="107">
        <f>HistoricalFS!L6</f>
        <v>178650</v>
      </c>
      <c r="C5" s="108" t="s">
        <v>360</v>
      </c>
      <c r="D5" s="15"/>
      <c r="E5" s="15"/>
      <c r="F5" s="15"/>
      <c r="G5" s="15"/>
      <c r="H5" s="15"/>
    </row>
    <row r="6" spans="1:8" ht="15" customHeight="1" x14ac:dyDescent="0.2">
      <c r="A6" s="15" t="s">
        <v>361</v>
      </c>
      <c r="B6" s="20">
        <v>0.20300000000000001</v>
      </c>
      <c r="C6" s="108" t="s">
        <v>362</v>
      </c>
      <c r="D6" s="15"/>
      <c r="E6" s="15"/>
      <c r="F6" s="15"/>
      <c r="G6" s="15"/>
      <c r="H6" s="15"/>
    </row>
    <row r="7" spans="1:8" ht="15" customHeight="1" x14ac:dyDescent="0.2">
      <c r="A7" s="15" t="s">
        <v>363</v>
      </c>
      <c r="B7" s="20">
        <v>0.21</v>
      </c>
      <c r="C7" s="108" t="s">
        <v>364</v>
      </c>
      <c r="D7" s="15"/>
      <c r="E7" s="15"/>
      <c r="F7" s="15"/>
      <c r="G7" s="15"/>
      <c r="H7" s="15"/>
    </row>
    <row r="8" spans="1:8" ht="15" customHeight="1" x14ac:dyDescent="0.2">
      <c r="A8" s="15" t="s">
        <v>365</v>
      </c>
      <c r="B8" s="15">
        <v>33097</v>
      </c>
      <c r="C8" s="108" t="s">
        <v>366</v>
      </c>
      <c r="D8" s="15"/>
      <c r="E8" s="15"/>
      <c r="F8" s="15"/>
      <c r="G8" s="15"/>
      <c r="H8" s="15"/>
    </row>
    <row r="9" spans="1:8" ht="15" customHeight="1" x14ac:dyDescent="0.2">
      <c r="A9" s="15" t="s">
        <v>367</v>
      </c>
      <c r="B9" s="109">
        <v>14.9</v>
      </c>
      <c r="C9" s="108" t="s">
        <v>368</v>
      </c>
      <c r="D9" s="15"/>
      <c r="E9" s="15"/>
      <c r="F9" s="15"/>
      <c r="G9" s="15"/>
      <c r="H9" s="15"/>
    </row>
    <row r="10" spans="1:8" ht="15" customHeight="1" x14ac:dyDescent="0.2">
      <c r="A10" s="15" t="s">
        <v>369</v>
      </c>
      <c r="B10" s="20">
        <v>0.55000000000000004</v>
      </c>
      <c r="C10" s="108" t="s">
        <v>370</v>
      </c>
      <c r="D10" s="15"/>
      <c r="E10" s="15"/>
      <c r="F10" s="15"/>
      <c r="G10" s="15"/>
      <c r="H10" s="15"/>
    </row>
    <row r="11" spans="1:8" ht="15" customHeight="1" x14ac:dyDescent="0.2">
      <c r="A11" s="15" t="s">
        <v>371</v>
      </c>
      <c r="B11" s="107">
        <v>48211</v>
      </c>
      <c r="C11" s="108" t="s">
        <v>372</v>
      </c>
      <c r="D11" s="15"/>
      <c r="E11" s="15"/>
      <c r="F11" s="15"/>
      <c r="G11" s="15"/>
      <c r="H11" s="15"/>
    </row>
    <row r="12" spans="1:8" ht="15" customHeight="1" x14ac:dyDescent="0.2">
      <c r="A12" s="15" t="s">
        <v>373</v>
      </c>
      <c r="B12" s="107">
        <v>0.14000000000000001</v>
      </c>
      <c r="C12" s="108" t="s">
        <v>374</v>
      </c>
      <c r="D12" s="15"/>
      <c r="E12" s="15"/>
      <c r="F12" s="15"/>
      <c r="G12" s="15"/>
      <c r="H12" s="15"/>
    </row>
    <row r="13" spans="1:8" ht="15" customHeight="1" x14ac:dyDescent="0.2">
      <c r="A13" s="15" t="s">
        <v>375</v>
      </c>
      <c r="B13" s="20">
        <v>0.21099999999999999</v>
      </c>
      <c r="C13" s="108" t="s">
        <v>376</v>
      </c>
      <c r="D13" s="15"/>
      <c r="E13" s="15"/>
      <c r="F13" s="15"/>
      <c r="G13" s="15"/>
      <c r="H13" s="15"/>
    </row>
    <row r="14" spans="1:8" ht="15" customHeight="1" x14ac:dyDescent="0.2">
      <c r="A14" s="15" t="s">
        <v>377</v>
      </c>
      <c r="B14" s="107">
        <v>1.4999999999999999E-2</v>
      </c>
      <c r="C14" s="108" t="s">
        <v>378</v>
      </c>
      <c r="D14" s="15"/>
      <c r="E14" s="15"/>
      <c r="F14" s="15"/>
      <c r="G14" s="15"/>
      <c r="H14" s="15"/>
    </row>
    <row r="15" spans="1:8" ht="15" customHeight="1" x14ac:dyDescent="0.2">
      <c r="A15" s="15" t="s">
        <v>379</v>
      </c>
      <c r="B15" s="107">
        <v>2.2499999999999999E-2</v>
      </c>
      <c r="C15" s="108" t="s">
        <v>380</v>
      </c>
      <c r="D15" s="15"/>
      <c r="E15" s="15"/>
      <c r="F15" s="15"/>
      <c r="G15" s="15"/>
      <c r="H15" s="15"/>
    </row>
    <row r="16" spans="1:8" ht="15" customHeight="1" x14ac:dyDescent="0.2">
      <c r="A16" s="15" t="s">
        <v>381</v>
      </c>
      <c r="B16" s="107">
        <v>0.03</v>
      </c>
      <c r="C16" s="108" t="s">
        <v>378</v>
      </c>
      <c r="D16" s="15"/>
      <c r="E16" s="15"/>
      <c r="F16" s="15"/>
      <c r="G16" s="15"/>
      <c r="H16" s="15"/>
    </row>
    <row r="17" spans="1:8" ht="15" customHeight="1" x14ac:dyDescent="0.2">
      <c r="A17" s="15" t="s">
        <v>382</v>
      </c>
      <c r="B17" s="20">
        <v>0.03</v>
      </c>
      <c r="C17" s="15" t="s">
        <v>383</v>
      </c>
      <c r="D17" s="15"/>
      <c r="E17" s="15"/>
      <c r="F17" s="15"/>
      <c r="G17" s="15"/>
      <c r="H17" s="15"/>
    </row>
    <row r="18" spans="1:8" ht="15" customHeight="1" x14ac:dyDescent="0.2">
      <c r="A18" s="15"/>
      <c r="B18" s="15"/>
      <c r="C18" s="15"/>
      <c r="D18" s="15"/>
      <c r="E18" s="15"/>
      <c r="F18" s="15"/>
      <c r="G18" s="15"/>
      <c r="H18" s="15"/>
    </row>
    <row r="19" spans="1:8" ht="15" customHeight="1" x14ac:dyDescent="0.2">
      <c r="A19" s="16" t="s">
        <v>384</v>
      </c>
      <c r="B19" s="16"/>
      <c r="C19" s="16"/>
      <c r="D19" s="16"/>
      <c r="E19" s="16"/>
      <c r="F19" s="16"/>
      <c r="G19" s="16"/>
      <c r="H19" s="16"/>
    </row>
    <row r="20" spans="1:8" ht="15" customHeight="1" x14ac:dyDescent="0.2">
      <c r="A20" s="17" t="s">
        <v>385</v>
      </c>
      <c r="B20" s="17" t="s">
        <v>386</v>
      </c>
      <c r="C20" s="17" t="s">
        <v>359</v>
      </c>
      <c r="D20" s="17" t="s">
        <v>387</v>
      </c>
      <c r="E20" s="17" t="s">
        <v>388</v>
      </c>
      <c r="F20" s="15" t="s">
        <v>389</v>
      </c>
      <c r="G20" s="15"/>
      <c r="H20" s="15"/>
    </row>
    <row r="21" spans="1:8" ht="15" customHeight="1" x14ac:dyDescent="0.2">
      <c r="A21" s="15" t="s">
        <v>390</v>
      </c>
      <c r="B21" s="15">
        <v>45175</v>
      </c>
      <c r="C21" s="15">
        <v>49908</v>
      </c>
      <c r="D21" s="20">
        <v>0.105</v>
      </c>
      <c r="E21" s="110">
        <v>2.3E-2</v>
      </c>
      <c r="F21" s="15"/>
      <c r="G21" s="15"/>
      <c r="H21" s="15"/>
    </row>
    <row r="22" spans="1:8" ht="15" customHeight="1" x14ac:dyDescent="0.2">
      <c r="A22" s="15" t="s">
        <v>391</v>
      </c>
      <c r="B22" s="15">
        <v>25207</v>
      </c>
      <c r="C22" s="15">
        <v>29078</v>
      </c>
      <c r="D22" s="20">
        <v>0.154</v>
      </c>
      <c r="E22" s="110">
        <v>3.5000000000000003E-2</v>
      </c>
      <c r="F22" s="15"/>
      <c r="G22" s="15"/>
      <c r="H22" s="15"/>
    </row>
    <row r="23" spans="1:8" ht="15" customHeight="1" x14ac:dyDescent="0.2">
      <c r="A23" s="15" t="s">
        <v>392</v>
      </c>
      <c r="B23" s="15">
        <v>21710</v>
      </c>
      <c r="C23" s="15">
        <v>23818</v>
      </c>
      <c r="D23" s="20">
        <v>9.7000000000000003E-2</v>
      </c>
      <c r="E23" s="110">
        <v>2.3E-2</v>
      </c>
      <c r="F23" s="15"/>
      <c r="G23" s="15"/>
      <c r="H23" s="15"/>
    </row>
    <row r="24" spans="1:8" ht="15" customHeight="1" x14ac:dyDescent="0.2">
      <c r="A24" s="15" t="s">
        <v>393</v>
      </c>
      <c r="B24" s="15">
        <v>22059</v>
      </c>
      <c r="C24" s="15">
        <v>23077</v>
      </c>
      <c r="D24" s="20">
        <v>4.5999999999999999E-2</v>
      </c>
      <c r="E24" s="110">
        <v>1.7999999999999999E-2</v>
      </c>
      <c r="F24" s="15"/>
      <c r="G24" s="15"/>
      <c r="H24" s="15"/>
    </row>
    <row r="25" spans="1:8" ht="15" customHeight="1" x14ac:dyDescent="0.2">
      <c r="A25" s="15" t="s">
        <v>394</v>
      </c>
      <c r="B25" s="15">
        <v>19108</v>
      </c>
      <c r="C25" s="15">
        <v>21765</v>
      </c>
      <c r="D25" s="20">
        <v>0.13900000000000001</v>
      </c>
      <c r="E25" s="110">
        <v>1.4999999999999999E-2</v>
      </c>
      <c r="F25" s="15"/>
      <c r="G25" s="15"/>
      <c r="H25" s="15"/>
    </row>
    <row r="26" spans="1:8" ht="15" customHeight="1" x14ac:dyDescent="0.2">
      <c r="A26" s="15" t="s">
        <v>395</v>
      </c>
      <c r="B26" s="15">
        <v>13090</v>
      </c>
      <c r="C26" s="15">
        <v>13928</v>
      </c>
      <c r="D26" s="20">
        <v>6.4000000000000001E-2</v>
      </c>
      <c r="E26" s="110">
        <v>0.04</v>
      </c>
      <c r="F26" s="15"/>
      <c r="G26" s="15"/>
      <c r="H26" s="15"/>
    </row>
    <row r="27" spans="1:8" ht="15" customHeight="1" x14ac:dyDescent="0.2">
      <c r="A27" s="15" t="s">
        <v>396</v>
      </c>
      <c r="B27" s="15">
        <v>11831</v>
      </c>
      <c r="C27" s="15">
        <v>12267</v>
      </c>
      <c r="D27" s="20">
        <v>3.6999999999999998E-2</v>
      </c>
      <c r="E27" s="110">
        <v>2.5000000000000001E-2</v>
      </c>
      <c r="F27" s="15"/>
      <c r="G27" s="15"/>
      <c r="H27" s="15"/>
    </row>
    <row r="28" spans="1:8" ht="15" customHeight="1" x14ac:dyDescent="0.2">
      <c r="A28" s="15" t="s">
        <v>397</v>
      </c>
      <c r="B28" s="15">
        <v>4810</v>
      </c>
      <c r="C28" s="15">
        <v>4809</v>
      </c>
      <c r="D28" s="20">
        <v>0</v>
      </c>
      <c r="E28" s="110">
        <v>1.4999999999999999E-2</v>
      </c>
      <c r="F28" s="15"/>
      <c r="G28" s="15"/>
      <c r="H28" s="15"/>
    </row>
    <row r="29" spans="1:8" ht="15" customHeight="1" x14ac:dyDescent="0.2">
      <c r="A29" s="15" t="s">
        <v>398</v>
      </c>
      <c r="B29" s="111">
        <f>SUMPRODUCT(C21:C28,E21:E28)/SUM(C21:C28)</f>
        <v>2.4580011195074167E-2</v>
      </c>
      <c r="C29" s="15" t="s">
        <v>399</v>
      </c>
      <c r="D29" s="111">
        <f>B29-B15</f>
        <v>2.0800111950741683E-3</v>
      </c>
      <c r="E29" s="15"/>
      <c r="F29" s="15"/>
      <c r="G29" s="15"/>
      <c r="H29" s="15"/>
    </row>
    <row r="30" spans="1:8" ht="15" customHeight="1" x14ac:dyDescent="0.2">
      <c r="A30" s="15"/>
      <c r="B30" s="15"/>
      <c r="C30" s="15"/>
      <c r="D30" s="15"/>
      <c r="E30" s="15"/>
      <c r="F30" s="15"/>
      <c r="G30" s="15"/>
      <c r="H30" s="15"/>
    </row>
    <row r="31" spans="1:8" ht="15" customHeight="1" x14ac:dyDescent="0.2">
      <c r="A31" s="15"/>
      <c r="B31" s="15"/>
      <c r="C31" s="15"/>
      <c r="D31" s="15"/>
      <c r="E31" s="15"/>
      <c r="F31" s="15"/>
      <c r="G31" s="15"/>
      <c r="H31" s="15"/>
    </row>
    <row r="32" spans="1:8" ht="15" customHeight="1" x14ac:dyDescent="0.2">
      <c r="A32" s="16" t="s">
        <v>400</v>
      </c>
      <c r="B32" s="16"/>
      <c r="C32" s="16"/>
      <c r="D32" s="16"/>
      <c r="E32" s="16"/>
      <c r="F32" s="16"/>
      <c r="G32" s="16"/>
      <c r="H32" s="16"/>
    </row>
    <row r="33" spans="1:8" ht="15" customHeight="1" x14ac:dyDescent="0.2">
      <c r="A33" s="17" t="s">
        <v>60</v>
      </c>
      <c r="B33" s="17" t="s">
        <v>401</v>
      </c>
      <c r="C33" s="17" t="s">
        <v>402</v>
      </c>
      <c r="D33" s="17" t="s">
        <v>403</v>
      </c>
      <c r="E33" s="17" t="s">
        <v>404</v>
      </c>
      <c r="F33" s="17" t="s">
        <v>405</v>
      </c>
      <c r="G33" s="15"/>
      <c r="H33" s="15"/>
    </row>
    <row r="34" spans="1:8" ht="15" customHeight="1" x14ac:dyDescent="0.2">
      <c r="A34" s="15" t="s">
        <v>406</v>
      </c>
      <c r="B34" s="110">
        <f>'Segment Forecast'!D12</f>
        <v>2.4580011195074025E-2</v>
      </c>
      <c r="C34" s="110">
        <f>'Segment Forecast'!E12</f>
        <v>2.5976364510826189E-2</v>
      </c>
      <c r="D34" s="110">
        <f>'Segment Forecast'!F12</f>
        <v>2.7325024108621587E-2</v>
      </c>
      <c r="E34" s="110">
        <f>'Segment Forecast'!G12</f>
        <v>2.8669517594937188E-2</v>
      </c>
      <c r="F34" s="110">
        <f>'Segment Forecast'!H12</f>
        <v>3.0000000000000027E-2</v>
      </c>
      <c r="G34" s="15" t="s">
        <v>407</v>
      </c>
      <c r="H34" s="15"/>
    </row>
    <row r="35" spans="1:8" ht="15" customHeight="1" x14ac:dyDescent="0.2">
      <c r="A35" s="15" t="s">
        <v>408</v>
      </c>
      <c r="B35" s="110">
        <f>'Integrated Operating Model'!C9</f>
        <v>0.20970599000502585</v>
      </c>
      <c r="C35" s="110">
        <f>'Integrated Operating Model'!D9</f>
        <v>0.21046475976774059</v>
      </c>
      <c r="D35" s="110">
        <f>'Integrated Operating Model'!E9</f>
        <v>0.21148650952180148</v>
      </c>
      <c r="E35" s="110">
        <f>'Integrated Operating Model'!F9</f>
        <v>0.21210499018333207</v>
      </c>
      <c r="F35" s="110">
        <f>'Integrated Operating Model'!G9</f>
        <v>0.21227656389708874</v>
      </c>
      <c r="G35" s="15"/>
      <c r="H35" s="15"/>
    </row>
    <row r="36" spans="1:8" ht="15" customHeight="1" x14ac:dyDescent="0.2">
      <c r="A36" s="15" t="s">
        <v>409</v>
      </c>
      <c r="B36" s="110">
        <v>0.45</v>
      </c>
      <c r="C36" s="110">
        <v>0.44</v>
      </c>
      <c r="D36" s="110">
        <v>0.43</v>
      </c>
      <c r="E36" s="110">
        <v>0.42</v>
      </c>
      <c r="F36" s="110">
        <v>0.4</v>
      </c>
      <c r="G36" s="15"/>
      <c r="H36" s="15"/>
    </row>
    <row r="37" spans="1:8" ht="15" customHeight="1" x14ac:dyDescent="0.2">
      <c r="A37" s="15" t="s">
        <v>410</v>
      </c>
      <c r="B37" s="111">
        <f>B34/B36</f>
        <v>5.46222471001645E-2</v>
      </c>
      <c r="C37" s="111">
        <f>C34/C36</f>
        <v>5.9037192070059523E-2</v>
      </c>
      <c r="D37" s="111">
        <f>D34/D36</f>
        <v>6.3546567694468814E-2</v>
      </c>
      <c r="E37" s="111">
        <f>E34/E36</f>
        <v>6.826075617842188E-2</v>
      </c>
      <c r="F37" s="111">
        <f>F34/F36</f>
        <v>7.5000000000000067E-2</v>
      </c>
      <c r="G37" s="15"/>
      <c r="H37" s="15"/>
    </row>
    <row r="38" spans="1:8" ht="15" customHeight="1" x14ac:dyDescent="0.2">
      <c r="A38" s="15" t="s">
        <v>411</v>
      </c>
      <c r="B38" s="110">
        <v>0.29499999999999998</v>
      </c>
      <c r="C38" s="110">
        <v>0.29499999999999998</v>
      </c>
      <c r="D38" s="110">
        <v>0.29499999999999998</v>
      </c>
      <c r="E38" s="110">
        <v>0.29499999999999998</v>
      </c>
      <c r="F38" s="110">
        <v>0.29499999999999998</v>
      </c>
      <c r="G38" s="15" t="s">
        <v>412</v>
      </c>
      <c r="H38" s="15"/>
    </row>
    <row r="39" spans="1:8" ht="15" customHeight="1" x14ac:dyDescent="0.2">
      <c r="A39" s="15" t="s">
        <v>52</v>
      </c>
      <c r="B39" s="111">
        <f>WACC!$L$45</f>
        <v>0.11593086162505005</v>
      </c>
      <c r="C39" s="111">
        <f>WACC!$L$45</f>
        <v>0.11593086162505005</v>
      </c>
      <c r="D39" s="111">
        <f>WACC!$L$45</f>
        <v>0.11593086162505005</v>
      </c>
      <c r="E39" s="111">
        <f>WACC!$L$45</f>
        <v>0.11593086162505005</v>
      </c>
      <c r="F39" s="111">
        <f>WACC!$L$45</f>
        <v>0.11593086162505005</v>
      </c>
      <c r="G39" s="15"/>
      <c r="H39" s="15"/>
    </row>
    <row r="40" spans="1:8" ht="15" customHeight="1" x14ac:dyDescent="0.2">
      <c r="A40" s="15" t="s">
        <v>413</v>
      </c>
      <c r="B40" s="111">
        <v>0.5</v>
      </c>
      <c r="C40" s="111">
        <v>1.5</v>
      </c>
      <c r="D40" s="111">
        <v>2.5</v>
      </c>
      <c r="E40" s="111">
        <v>3.5</v>
      </c>
      <c r="F40" s="111">
        <v>4.5</v>
      </c>
      <c r="G40" s="15"/>
      <c r="H40" s="15"/>
    </row>
    <row r="41" spans="1:8" ht="15" customHeight="1" x14ac:dyDescent="0.2">
      <c r="A41" s="15" t="s">
        <v>414</v>
      </c>
      <c r="B41" s="20">
        <f>'Normalization Bridge'!B12/'Segment Profitability'!B31</f>
        <v>2.7439126784214944E-2</v>
      </c>
      <c r="C41" s="20">
        <f>B41</f>
        <v>2.7439126784214944E-2</v>
      </c>
      <c r="D41" s="20">
        <f>B41</f>
        <v>2.7439126784214944E-2</v>
      </c>
      <c r="E41" s="20">
        <f>B41</f>
        <v>2.7439126784214944E-2</v>
      </c>
      <c r="F41" s="20">
        <f>B41</f>
        <v>2.7439126784214944E-2</v>
      </c>
      <c r="G41" s="15"/>
      <c r="H41" s="15"/>
    </row>
    <row r="42" spans="1:8" ht="15" customHeight="1" x14ac:dyDescent="0.2">
      <c r="A42" s="15"/>
      <c r="B42" s="15"/>
      <c r="C42" s="15"/>
      <c r="D42" s="15"/>
      <c r="E42" s="15"/>
      <c r="F42" s="15"/>
      <c r="G42" s="15"/>
      <c r="H42" s="15"/>
    </row>
    <row r="43" spans="1:8" ht="15" customHeight="1" x14ac:dyDescent="0.2">
      <c r="A43" s="16" t="s">
        <v>415</v>
      </c>
      <c r="B43" s="16"/>
      <c r="C43" s="16"/>
      <c r="D43" s="16"/>
      <c r="E43" s="16"/>
      <c r="F43" s="16"/>
      <c r="G43" s="16"/>
      <c r="H43" s="16"/>
    </row>
    <row r="44" spans="1:8" ht="15" customHeight="1" x14ac:dyDescent="0.2">
      <c r="A44" s="15" t="s">
        <v>55</v>
      </c>
      <c r="B44" s="110">
        <v>0.03</v>
      </c>
      <c r="C44" s="15"/>
      <c r="D44" s="15"/>
      <c r="E44" s="15"/>
      <c r="F44" s="15"/>
      <c r="G44" s="15"/>
      <c r="H44" s="15"/>
    </row>
    <row r="45" spans="1:8" ht="15" customHeight="1" x14ac:dyDescent="0.2">
      <c r="A45" s="15" t="s">
        <v>56</v>
      </c>
      <c r="B45" s="110">
        <v>0.4</v>
      </c>
      <c r="C45" s="15"/>
      <c r="D45" s="15"/>
      <c r="E45" s="15"/>
      <c r="F45" s="15"/>
      <c r="G45" s="15"/>
      <c r="H45" s="15"/>
    </row>
    <row r="46" spans="1:8" ht="15" customHeight="1" x14ac:dyDescent="0.2">
      <c r="A46" s="15" t="s">
        <v>416</v>
      </c>
      <c r="B46" s="111">
        <f>B44/B45</f>
        <v>7.4999999999999997E-2</v>
      </c>
      <c r="C46" s="15"/>
      <c r="D46" s="15"/>
      <c r="E46" s="15"/>
      <c r="F46" s="15"/>
      <c r="G46" s="15"/>
      <c r="H46" s="15"/>
    </row>
    <row r="47" spans="1:8" ht="15" customHeight="1" x14ac:dyDescent="0.2">
      <c r="A47" s="15" t="s">
        <v>417</v>
      </c>
      <c r="B47" s="112" t="str">
        <f>IF(B44&lt;WACC!$L$45,"PASS","FAIL: g &gt;= WACC")</f>
        <v>PASS</v>
      </c>
      <c r="C47" s="15"/>
      <c r="D47" s="15"/>
      <c r="E47" s="15"/>
      <c r="F47" s="15"/>
      <c r="G47" s="15"/>
      <c r="H47" s="15"/>
    </row>
    <row r="48" spans="1:8" ht="15" customHeight="1" x14ac:dyDescent="0.2">
      <c r="A48" s="15" t="s">
        <v>418</v>
      </c>
      <c r="B48" s="20">
        <f>WACC!$E$28</f>
        <v>0.25169999999999998</v>
      </c>
      <c r="C48" s="15" t="s">
        <v>419</v>
      </c>
      <c r="D48" s="15"/>
      <c r="E48" s="15"/>
      <c r="F48" s="15"/>
      <c r="G48" s="15"/>
      <c r="H48" s="15"/>
    </row>
    <row r="49" spans="1:8" ht="15" customHeight="1" x14ac:dyDescent="0.2">
      <c r="A49" s="15" t="s">
        <v>107</v>
      </c>
      <c r="B49" s="11" t="s">
        <v>420</v>
      </c>
      <c r="C49" s="11"/>
      <c r="D49" s="11"/>
      <c r="E49" s="11"/>
      <c r="F49" s="11"/>
      <c r="G49" s="11"/>
      <c r="H49" s="11"/>
    </row>
    <row r="50" spans="1:8" ht="15" customHeight="1" x14ac:dyDescent="0.2">
      <c r="A50" s="15"/>
      <c r="B50" s="11"/>
      <c r="C50" s="11"/>
      <c r="D50" s="11"/>
      <c r="E50" s="11"/>
      <c r="F50" s="11"/>
      <c r="G50" s="11"/>
      <c r="H50" s="11"/>
    </row>
    <row r="51" spans="1:8" ht="15" customHeight="1" x14ac:dyDescent="0.2">
      <c r="A51" s="15"/>
      <c r="B51" s="11"/>
      <c r="C51" s="11"/>
      <c r="D51" s="11"/>
      <c r="E51" s="11"/>
      <c r="F51" s="11"/>
      <c r="G51" s="11"/>
      <c r="H51" s="11"/>
    </row>
    <row r="52" spans="1:8" ht="15" customHeight="1" x14ac:dyDescent="0.2">
      <c r="A52" s="15"/>
      <c r="B52" s="15"/>
      <c r="C52" s="15"/>
      <c r="D52" s="15"/>
      <c r="E52" s="15"/>
      <c r="F52" s="15"/>
      <c r="G52" s="15"/>
      <c r="H52" s="15"/>
    </row>
    <row r="53" spans="1:8" ht="27.75" customHeight="1" x14ac:dyDescent="0.2">
      <c r="A53" s="15" t="s">
        <v>421</v>
      </c>
      <c r="B53" s="11" t="s">
        <v>422</v>
      </c>
      <c r="C53" s="11"/>
      <c r="D53" s="11"/>
      <c r="E53" s="11"/>
      <c r="F53" s="11"/>
      <c r="G53" s="11"/>
      <c r="H53" s="11"/>
    </row>
    <row r="54" spans="1:8" ht="15" customHeight="1" x14ac:dyDescent="0.2">
      <c r="A54" s="15"/>
      <c r="B54" s="113" t="s">
        <v>423</v>
      </c>
      <c r="C54" s="15"/>
      <c r="D54" s="15"/>
      <c r="E54" s="15"/>
      <c r="F54" s="15"/>
      <c r="G54" s="15"/>
      <c r="H54" s="15"/>
    </row>
    <row r="55" spans="1:8" ht="15" customHeight="1" x14ac:dyDescent="0.2">
      <c r="A55" s="15"/>
      <c r="B55" s="113" t="s">
        <v>424</v>
      </c>
      <c r="C55" s="15"/>
      <c r="D55" s="15"/>
      <c r="E55" s="15"/>
      <c r="F55" s="15"/>
      <c r="G55" s="15"/>
      <c r="H55" s="15"/>
    </row>
  </sheetData>
  <mergeCells count="4">
    <mergeCell ref="A1:H1"/>
    <mergeCell ref="A2:H2"/>
    <mergeCell ref="B49:H51"/>
    <mergeCell ref="B53:H53"/>
  </mergeCells>
  <hyperlinks>
    <hyperlink ref="B54" r:id="rId1" xr:uid="{00000000-0004-0000-0E00-000000000000}"/>
    <hyperlink ref="B55" r:id="rId2" xr:uid="{00000000-0004-0000-0E00-000001000000}"/>
  </hyperlinks>
  <pageMargins left="0.75" right="0.75" top="1" bottom="1" header="0.511811023622047" footer="0.511811023622047"/>
  <pageSetup paperSize="9" orientation="portrait" horizontalDpi="300" verticalDpi="300"/>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548235"/>
  </sheetPr>
  <dimension ref="B1:V20"/>
  <sheetViews>
    <sheetView showGridLines="0" topLeftCell="M1" zoomScale="90" zoomScaleNormal="90" workbookViewId="0">
      <selection activeCell="R9" sqref="R9"/>
    </sheetView>
  </sheetViews>
  <sheetFormatPr baseColWidth="10" defaultColWidth="10.6640625" defaultRowHeight="15" x14ac:dyDescent="0.2"/>
  <cols>
    <col min="1" max="1" width="2.33203125" customWidth="1"/>
    <col min="2" max="2" width="12.6640625" customWidth="1"/>
    <col min="3" max="3" width="19" customWidth="1"/>
    <col min="4" max="4" width="16.6640625" customWidth="1"/>
    <col min="5" max="5" width="15.83203125" customWidth="1"/>
    <col min="6" max="6" width="2.83203125" customWidth="1"/>
    <col min="10" max="10" width="15.6640625" customWidth="1"/>
    <col min="11" max="11" width="2.83203125" customWidth="1"/>
    <col min="15" max="15" width="16" customWidth="1"/>
    <col min="17" max="17" width="26" customWidth="1"/>
    <col min="18" max="22" width="18" customWidth="1"/>
  </cols>
  <sheetData>
    <row r="1" spans="2:22" ht="15" customHeight="1" x14ac:dyDescent="0.2">
      <c r="B1" s="5" t="s">
        <v>425</v>
      </c>
      <c r="C1" s="5"/>
      <c r="D1" s="5"/>
      <c r="E1" s="5"/>
      <c r="F1" s="5"/>
      <c r="G1" s="5"/>
      <c r="H1" s="5"/>
      <c r="I1" s="5"/>
      <c r="J1" s="5"/>
      <c r="K1" s="5"/>
      <c r="L1" s="5"/>
      <c r="M1" s="5"/>
      <c r="N1" s="5"/>
      <c r="O1" s="5"/>
      <c r="Q1" t="s">
        <v>426</v>
      </c>
      <c r="R1" s="4" t="s">
        <v>427</v>
      </c>
      <c r="S1" s="4"/>
      <c r="T1" s="4"/>
      <c r="U1" s="4"/>
      <c r="V1" s="4"/>
    </row>
    <row r="2" spans="2:22" ht="15" customHeight="1" x14ac:dyDescent="0.2">
      <c r="B2" s="3" t="str">
        <f>'Data Sheet'!$B$1&amp;" - " &amp;'Data Sheet'!A17&amp; " Forecasting "</f>
        <v xml:space="preserve">INFOSYS LTD - Sales Forecasting </v>
      </c>
      <c r="C2" s="3"/>
      <c r="D2" s="3"/>
      <c r="E2" s="3"/>
      <c r="G2" s="3" t="str">
        <f>'Data Sheet'!$B$1&amp;" - " &amp; HistoricalFS!B18&amp;" Forecasting "</f>
        <v xml:space="preserve">INFOSYS LTD - EBITDA Forecasting </v>
      </c>
      <c r="H2" s="3"/>
      <c r="I2" s="3"/>
      <c r="J2" s="3"/>
      <c r="L2" s="3" t="str">
        <f>'Data Sheet'!$B$1&amp;" - " &amp;HistoricalFS!B38&amp;" Forecasting "</f>
        <v xml:space="preserve">INFOSYS LTD - EPS Forecasting </v>
      </c>
      <c r="M2" s="3"/>
      <c r="N2" s="3"/>
      <c r="O2" s="3"/>
      <c r="Q2" s="2" t="s">
        <v>428</v>
      </c>
      <c r="R2" s="2"/>
      <c r="S2" s="2"/>
      <c r="T2" s="2"/>
      <c r="U2" s="2"/>
      <c r="V2" s="2"/>
    </row>
    <row r="3" spans="2:22" ht="15" customHeight="1" x14ac:dyDescent="0.2">
      <c r="B3" s="114" t="s">
        <v>429</v>
      </c>
      <c r="C3" s="115" t="s">
        <v>430</v>
      </c>
      <c r="D3" s="116" t="s">
        <v>175</v>
      </c>
      <c r="E3" s="116" t="s">
        <v>176</v>
      </c>
      <c r="G3" s="114" t="s">
        <v>429</v>
      </c>
      <c r="H3" s="115" t="s">
        <v>430</v>
      </c>
      <c r="I3" s="116" t="s">
        <v>175</v>
      </c>
      <c r="J3" s="116" t="s">
        <v>176</v>
      </c>
      <c r="L3" s="114" t="s">
        <v>429</v>
      </c>
      <c r="M3" s="115" t="s">
        <v>430</v>
      </c>
      <c r="N3" s="116" t="s">
        <v>175</v>
      </c>
      <c r="O3" s="116" t="s">
        <v>176</v>
      </c>
      <c r="Q3" s="117" t="s">
        <v>60</v>
      </c>
      <c r="R3" s="117" t="s">
        <v>431</v>
      </c>
      <c r="S3" s="117" t="s">
        <v>432</v>
      </c>
      <c r="T3" s="117" t="s">
        <v>433</v>
      </c>
      <c r="U3" s="117" t="s">
        <v>434</v>
      </c>
      <c r="V3" s="117" t="s">
        <v>435</v>
      </c>
    </row>
    <row r="4" spans="2:22" ht="15" customHeight="1" x14ac:dyDescent="0.2">
      <c r="B4" s="118">
        <v>1</v>
      </c>
      <c r="C4" s="119">
        <f>'Data Sheet'!$B$16</f>
        <v>42825</v>
      </c>
      <c r="D4" s="29">
        <f t="array" ref="D4:D13">TRANSPOSE('Data Sheet'!B17:K17)</f>
        <v>68484</v>
      </c>
      <c r="G4" s="118">
        <v>1</v>
      </c>
      <c r="H4" s="119">
        <f t="shared" ref="H4:H18" si="0">C4</f>
        <v>42825</v>
      </c>
      <c r="I4" s="29">
        <f t="array" ref="I4:I13">TRANSPOSE(HistoricalFS!C18:L18)</f>
        <v>18604</v>
      </c>
      <c r="L4" s="118">
        <v>1</v>
      </c>
      <c r="M4" s="119">
        <f t="shared" ref="M4:M18" si="1">H4</f>
        <v>42825</v>
      </c>
      <c r="N4" s="29">
        <f t="array" ref="N4:N13">TRANSPOSE(HistoricalFS!C38:L38)</f>
        <v>24.604366660136268</v>
      </c>
      <c r="Q4" s="120" t="s">
        <v>406</v>
      </c>
      <c r="R4" s="121">
        <f>'Operating Drivers'!B34</f>
        <v>2.4580011195074025E-2</v>
      </c>
      <c r="S4" s="121">
        <f>'Operating Drivers'!C34</f>
        <v>2.5976364510826189E-2</v>
      </c>
      <c r="T4" s="121">
        <f>'Operating Drivers'!D34</f>
        <v>2.7325024108621587E-2</v>
      </c>
      <c r="U4" s="121">
        <f>'Operating Drivers'!E34</f>
        <v>2.8669517594937188E-2</v>
      </c>
      <c r="V4" s="121">
        <f>'Operating Drivers'!F34</f>
        <v>3.0000000000000027E-2</v>
      </c>
    </row>
    <row r="5" spans="2:22" ht="15" customHeight="1" x14ac:dyDescent="0.2">
      <c r="B5" s="118">
        <f t="shared" ref="B5:B18" si="2">B4+1</f>
        <v>2</v>
      </c>
      <c r="C5" s="119">
        <f>'Data Sheet'!$C$16</f>
        <v>43190</v>
      </c>
      <c r="D5" s="29">
        <v>70522</v>
      </c>
      <c r="E5" s="50">
        <f t="shared" ref="E5:E18" si="3">D5/D4-1</f>
        <v>2.9758775772443125E-2</v>
      </c>
      <c r="G5" s="118">
        <f t="shared" ref="G5:G18" si="4">G4+1</f>
        <v>2</v>
      </c>
      <c r="H5" s="119">
        <f t="shared" si="0"/>
        <v>43190</v>
      </c>
      <c r="I5" s="29">
        <v>18822</v>
      </c>
      <c r="J5" s="50">
        <f t="shared" ref="J5:J18" si="5">I5/I4-1</f>
        <v>1.1717910126854525E-2</v>
      </c>
      <c r="L5" s="118">
        <f t="shared" ref="L5:L18" si="6">L4+1</f>
        <v>2</v>
      </c>
      <c r="M5" s="119">
        <f t="shared" si="1"/>
        <v>43190</v>
      </c>
      <c r="N5" s="29">
        <v>29.114967263403692</v>
      </c>
      <c r="O5" s="50">
        <f t="shared" ref="O5:O18" si="7">N5/N4-1</f>
        <v>0.1833252066827411</v>
      </c>
      <c r="Q5" s="28" t="s">
        <v>436</v>
      </c>
      <c r="R5" s="122">
        <f>HistoricalFS!$L$6*(1+R4)</f>
        <v>183041.21899999998</v>
      </c>
      <c r="S5" s="122">
        <f>R5*(1+S4)</f>
        <v>187795.96442524996</v>
      </c>
      <c r="T5" s="122">
        <f>S5*(1+T4)</f>
        <v>192927.49368067176</v>
      </c>
      <c r="U5" s="122">
        <f>T5*(1+U4)</f>
        <v>198458.6318552969</v>
      </c>
      <c r="V5" s="122">
        <f>U5*(1+V4)</f>
        <v>204412.39081095581</v>
      </c>
    </row>
    <row r="6" spans="2:22" ht="15" customHeight="1" x14ac:dyDescent="0.2">
      <c r="B6" s="118">
        <f t="shared" si="2"/>
        <v>3</v>
      </c>
      <c r="C6" s="119">
        <f>'Data Sheet'!$D$16</f>
        <v>43555</v>
      </c>
      <c r="D6" s="29">
        <v>82675</v>
      </c>
      <c r="E6" s="50">
        <f t="shared" si="3"/>
        <v>0.17232920223476356</v>
      </c>
      <c r="G6" s="118">
        <f t="shared" si="4"/>
        <v>3</v>
      </c>
      <c r="H6" s="119">
        <f t="shared" si="0"/>
        <v>43555</v>
      </c>
      <c r="I6" s="29">
        <v>20170</v>
      </c>
      <c r="J6" s="50">
        <f t="shared" si="5"/>
        <v>7.1618318988417862E-2</v>
      </c>
      <c r="L6" s="118">
        <f t="shared" si="6"/>
        <v>3</v>
      </c>
      <c r="M6" s="119">
        <f t="shared" si="1"/>
        <v>43555</v>
      </c>
      <c r="N6" s="29">
        <v>28.6754102863421</v>
      </c>
      <c r="O6" s="50">
        <f t="shared" si="7"/>
        <v>-1.5097285636109792E-2</v>
      </c>
      <c r="Q6" s="120" t="s">
        <v>295</v>
      </c>
      <c r="R6" s="121">
        <f>'Operating Drivers'!B35</f>
        <v>0.20970599000502585</v>
      </c>
      <c r="S6" s="121">
        <f>'Operating Drivers'!C35</f>
        <v>0.21046475976774059</v>
      </c>
      <c r="T6" s="121">
        <f>'Operating Drivers'!D35</f>
        <v>0.21148650952180148</v>
      </c>
      <c r="U6" s="121">
        <f>'Operating Drivers'!E35</f>
        <v>0.21210499018333207</v>
      </c>
      <c r="V6" s="121">
        <f>'Operating Drivers'!F35</f>
        <v>0.21227656389708874</v>
      </c>
    </row>
    <row r="7" spans="2:22" ht="15" customHeight="1" x14ac:dyDescent="0.2">
      <c r="B7" s="118">
        <f t="shared" si="2"/>
        <v>4</v>
      </c>
      <c r="C7" s="119">
        <f>'Data Sheet'!$E$16</f>
        <v>43921</v>
      </c>
      <c r="D7" s="29">
        <v>90791</v>
      </c>
      <c r="E7" s="50">
        <f t="shared" si="3"/>
        <v>9.8167523435137571E-2</v>
      </c>
      <c r="G7" s="118">
        <f t="shared" si="4"/>
        <v>4</v>
      </c>
      <c r="H7" s="119">
        <f t="shared" si="0"/>
        <v>43921</v>
      </c>
      <c r="I7" s="29">
        <v>22267</v>
      </c>
      <c r="J7" s="50">
        <f t="shared" si="5"/>
        <v>0.10396628656420437</v>
      </c>
      <c r="L7" s="118">
        <f t="shared" si="6"/>
        <v>4</v>
      </c>
      <c r="M7" s="119">
        <f t="shared" si="1"/>
        <v>43921</v>
      </c>
      <c r="N7" s="29">
        <v>32.486499178210849</v>
      </c>
      <c r="O7" s="50">
        <f t="shared" si="7"/>
        <v>0.13290442416734827</v>
      </c>
      <c r="Q7" s="28" t="s">
        <v>437</v>
      </c>
      <c r="R7" s="122">
        <f>R5*R6</f>
        <v>38384.840042121745</v>
      </c>
      <c r="S7" s="122">
        <f>S5*S6</f>
        <v>39524.432538111389</v>
      </c>
      <c r="T7" s="122">
        <f>T5*T6</f>
        <v>40801.562229314681</v>
      </c>
      <c r="U7" s="122">
        <f>U5*U6</f>
        <v>42094.066161465264</v>
      </c>
      <c r="V7" s="122">
        <f>V5*V6</f>
        <v>43391.959939338536</v>
      </c>
    </row>
    <row r="8" spans="2:22" ht="15" customHeight="1" x14ac:dyDescent="0.2">
      <c r="B8" s="118">
        <f t="shared" si="2"/>
        <v>5</v>
      </c>
      <c r="C8" s="119">
        <f>'Data Sheet'!$F$16</f>
        <v>44286</v>
      </c>
      <c r="D8" s="29">
        <v>100472</v>
      </c>
      <c r="E8" s="50">
        <f t="shared" si="3"/>
        <v>0.10662951173574475</v>
      </c>
      <c r="G8" s="118">
        <f t="shared" si="4"/>
        <v>5</v>
      </c>
      <c r="H8" s="119">
        <f t="shared" si="0"/>
        <v>44286</v>
      </c>
      <c r="I8" s="29">
        <v>27889</v>
      </c>
      <c r="J8" s="50">
        <f t="shared" si="5"/>
        <v>0.25248125028068436</v>
      </c>
      <c r="L8" s="118">
        <f t="shared" si="6"/>
        <v>5</v>
      </c>
      <c r="M8" s="119">
        <f t="shared" si="1"/>
        <v>44286</v>
      </c>
      <c r="N8" s="29">
        <v>40.420588166263762</v>
      </c>
      <c r="O8" s="50">
        <f t="shared" si="7"/>
        <v>0.24422726944288353</v>
      </c>
      <c r="Q8" s="120" t="s">
        <v>438</v>
      </c>
      <c r="R8" s="121">
        <f>'Operating Drivers'!B38</f>
        <v>0.29499999999999998</v>
      </c>
      <c r="S8" s="121">
        <f>'Operating Drivers'!C38</f>
        <v>0.29499999999999998</v>
      </c>
      <c r="T8" s="121">
        <f>'Operating Drivers'!D38</f>
        <v>0.29499999999999998</v>
      </c>
      <c r="U8" s="121">
        <f>'Operating Drivers'!E38</f>
        <v>0.29499999999999998</v>
      </c>
      <c r="V8" s="121">
        <f>'Operating Drivers'!F38</f>
        <v>0.29499999999999998</v>
      </c>
    </row>
    <row r="9" spans="2:22" ht="15" customHeight="1" x14ac:dyDescent="0.2">
      <c r="B9" s="118">
        <f t="shared" si="2"/>
        <v>6</v>
      </c>
      <c r="C9" s="119">
        <f>'Data Sheet'!$G$16</f>
        <v>44651</v>
      </c>
      <c r="D9" s="29">
        <v>121641</v>
      </c>
      <c r="E9" s="50">
        <f t="shared" si="3"/>
        <v>0.21069551715900947</v>
      </c>
      <c r="G9" s="118">
        <f t="shared" si="4"/>
        <v>6</v>
      </c>
      <c r="H9" s="119">
        <f t="shared" si="0"/>
        <v>44651</v>
      </c>
      <c r="I9" s="29">
        <v>31491</v>
      </c>
      <c r="J9" s="50">
        <f t="shared" si="5"/>
        <v>0.12915486392484499</v>
      </c>
      <c r="L9" s="118">
        <f t="shared" si="6"/>
        <v>6</v>
      </c>
      <c r="M9" s="119">
        <f t="shared" si="1"/>
        <v>44651</v>
      </c>
      <c r="N9" s="29">
        <v>47.189008011030019</v>
      </c>
      <c r="O9" s="50">
        <f t="shared" si="7"/>
        <v>0.16744981089650213</v>
      </c>
      <c r="Q9" s="120" t="s">
        <v>439</v>
      </c>
      <c r="R9" s="122">
        <f>R7*(1-R8)</f>
        <v>27061.312229695832</v>
      </c>
      <c r="S9" s="122">
        <f>S7*(1-S8)</f>
        <v>27864.724939368531</v>
      </c>
      <c r="T9" s="122">
        <f>T7*(1-T8)</f>
        <v>28765.101371666853</v>
      </c>
      <c r="U9" s="122">
        <f>U7*(1-U8)</f>
        <v>29676.316643833015</v>
      </c>
      <c r="V9" s="122">
        <f>V7*(1-V8)</f>
        <v>30591.331757233671</v>
      </c>
    </row>
    <row r="10" spans="2:22" ht="15" customHeight="1" x14ac:dyDescent="0.2">
      <c r="B10" s="118">
        <f t="shared" si="2"/>
        <v>7</v>
      </c>
      <c r="C10" s="119">
        <f>'Data Sheet'!$H$16</f>
        <v>45016</v>
      </c>
      <c r="D10" s="29">
        <v>146767</v>
      </c>
      <c r="E10" s="50">
        <f t="shared" si="3"/>
        <v>0.20655864387829759</v>
      </c>
      <c r="G10" s="118">
        <f t="shared" si="4"/>
        <v>7</v>
      </c>
      <c r="H10" s="119">
        <f t="shared" si="0"/>
        <v>45016</v>
      </c>
      <c r="I10" s="29">
        <v>35130</v>
      </c>
      <c r="J10" s="50">
        <f t="shared" si="5"/>
        <v>0.1155568257597408</v>
      </c>
      <c r="L10" s="118">
        <f t="shared" si="6"/>
        <v>7</v>
      </c>
      <c r="M10" s="119">
        <f t="shared" si="1"/>
        <v>45016</v>
      </c>
      <c r="N10" s="29">
        <v>51.600539941184977</v>
      </c>
      <c r="O10" s="50">
        <f t="shared" si="7"/>
        <v>9.3486430762091954E-2</v>
      </c>
      <c r="Q10" s="120" t="s">
        <v>410</v>
      </c>
      <c r="R10" s="123">
        <f>'Operating Drivers'!B37</f>
        <v>5.46222471001645E-2</v>
      </c>
      <c r="S10" s="123">
        <f>'Operating Drivers'!C37</f>
        <v>5.9037192070059523E-2</v>
      </c>
      <c r="T10" s="123">
        <f>'Operating Drivers'!D37</f>
        <v>6.3546567694468814E-2</v>
      </c>
      <c r="U10" s="123">
        <f>'Operating Drivers'!E37</f>
        <v>6.826075617842188E-2</v>
      </c>
      <c r="V10" s="123">
        <f>'Operating Drivers'!F37</f>
        <v>7.5000000000000067E-2</v>
      </c>
    </row>
    <row r="11" spans="2:22" ht="15" customHeight="1" x14ac:dyDescent="0.2">
      <c r="B11" s="118">
        <f t="shared" si="2"/>
        <v>8</v>
      </c>
      <c r="C11" s="119">
        <f>'Data Sheet'!$I$16</f>
        <v>45382</v>
      </c>
      <c r="D11" s="29">
        <v>153670</v>
      </c>
      <c r="E11" s="50">
        <f t="shared" si="3"/>
        <v>4.7033733741236095E-2</v>
      </c>
      <c r="G11" s="118">
        <f t="shared" si="4"/>
        <v>8</v>
      </c>
      <c r="H11" s="119">
        <f t="shared" si="0"/>
        <v>45382</v>
      </c>
      <c r="I11" s="29">
        <v>36425</v>
      </c>
      <c r="J11" s="50">
        <f t="shared" si="5"/>
        <v>3.6863079988613823E-2</v>
      </c>
      <c r="L11" s="118">
        <f t="shared" si="6"/>
        <v>8</v>
      </c>
      <c r="M11" s="119">
        <f t="shared" si="1"/>
        <v>45382</v>
      </c>
      <c r="N11" s="29">
        <v>51.885133344575877</v>
      </c>
      <c r="O11" s="50">
        <f t="shared" si="7"/>
        <v>5.5153183225462588E-3</v>
      </c>
      <c r="Q11" s="28" t="s">
        <v>440</v>
      </c>
      <c r="R11" s="122">
        <f>R9*(1-R10)</f>
        <v>25583.162546230684</v>
      </c>
      <c r="S11" s="122">
        <f>S9*(1-S10)</f>
        <v>26219.669821143652</v>
      </c>
      <c r="T11" s="122">
        <f>T9*(1-T10)</f>
        <v>26937.177910113965</v>
      </c>
      <c r="U11" s="122">
        <f>U9*(1-U10)</f>
        <v>27650.588829134686</v>
      </c>
      <c r="V11" s="122">
        <f>V9*(1-V10)</f>
        <v>28296.981875441143</v>
      </c>
    </row>
    <row r="12" spans="2:22" ht="15" customHeight="1" x14ac:dyDescent="0.2">
      <c r="B12" s="118">
        <f t="shared" si="2"/>
        <v>9</v>
      </c>
      <c r="C12" s="119">
        <f>'Data Sheet'!$J$16</f>
        <v>45747</v>
      </c>
      <c r="D12" s="29">
        <v>162990</v>
      </c>
      <c r="E12" s="50">
        <f t="shared" si="3"/>
        <v>6.0649443612936782E-2</v>
      </c>
      <c r="G12" s="118">
        <f t="shared" si="4"/>
        <v>9</v>
      </c>
      <c r="H12" s="119">
        <f t="shared" si="0"/>
        <v>45747</v>
      </c>
      <c r="I12" s="29">
        <v>39236</v>
      </c>
      <c r="J12" s="50">
        <f t="shared" si="5"/>
        <v>7.7172271791352109E-2</v>
      </c>
      <c r="L12" s="118">
        <f t="shared" si="6"/>
        <v>9</v>
      </c>
      <c r="M12" s="119">
        <f t="shared" si="1"/>
        <v>45747</v>
      </c>
      <c r="N12" s="29">
        <v>55.738810102809815</v>
      </c>
      <c r="O12" s="50">
        <f t="shared" si="7"/>
        <v>7.4273236085588668E-2</v>
      </c>
      <c r="Q12" s="120" t="s">
        <v>413</v>
      </c>
      <c r="R12" s="124">
        <f>'Operating Drivers'!B40</f>
        <v>0.5</v>
      </c>
      <c r="S12" s="124">
        <f>'Operating Drivers'!C40</f>
        <v>1.5</v>
      </c>
      <c r="T12" s="124">
        <f>'Operating Drivers'!D40</f>
        <v>2.5</v>
      </c>
      <c r="U12" s="124">
        <f>'Operating Drivers'!E40</f>
        <v>3.5</v>
      </c>
      <c r="V12" s="124">
        <f>'Operating Drivers'!F40</f>
        <v>4.5</v>
      </c>
    </row>
    <row r="13" spans="2:22" ht="15" customHeight="1" x14ac:dyDescent="0.2">
      <c r="B13" s="118">
        <f t="shared" si="2"/>
        <v>10</v>
      </c>
      <c r="C13" s="119">
        <f>'Data Sheet'!$K$16</f>
        <v>46112</v>
      </c>
      <c r="D13" s="29">
        <v>178650</v>
      </c>
      <c r="E13" s="50">
        <f t="shared" si="3"/>
        <v>9.6079514080618544E-2</v>
      </c>
      <c r="G13" s="118">
        <f t="shared" si="4"/>
        <v>10</v>
      </c>
      <c r="H13" s="119">
        <f t="shared" si="0"/>
        <v>46112</v>
      </c>
      <c r="I13" s="29">
        <v>42280</v>
      </c>
      <c r="J13" s="50">
        <f t="shared" si="5"/>
        <v>7.758181262106234E-2</v>
      </c>
      <c r="L13" s="118">
        <f t="shared" si="6"/>
        <v>10</v>
      </c>
      <c r="M13" s="119">
        <f t="shared" si="1"/>
        <v>46112</v>
      </c>
      <c r="N13" s="29">
        <v>65.196271821678664</v>
      </c>
      <c r="O13" s="50">
        <f t="shared" si="7"/>
        <v>0.1696746253001209</v>
      </c>
      <c r="Q13" s="120" t="s">
        <v>52</v>
      </c>
      <c r="R13" s="121">
        <f>'Operating Drivers'!B39</f>
        <v>0.11593086162505005</v>
      </c>
      <c r="S13" s="121">
        <f>'Operating Drivers'!C39</f>
        <v>0.11593086162505005</v>
      </c>
      <c r="T13" s="121">
        <f>'Operating Drivers'!D39</f>
        <v>0.11593086162505005</v>
      </c>
      <c r="U13" s="121">
        <f>'Operating Drivers'!E39</f>
        <v>0.11593086162505005</v>
      </c>
      <c r="V13" s="121">
        <f>'Operating Drivers'!F39</f>
        <v>0.11593086162505005</v>
      </c>
    </row>
    <row r="14" spans="2:22" ht="15" customHeight="1" x14ac:dyDescent="0.2">
      <c r="B14" s="125">
        <f t="shared" si="2"/>
        <v>11</v>
      </c>
      <c r="C14" s="126">
        <f>C13+365</f>
        <v>46477</v>
      </c>
      <c r="D14" s="127">
        <f>FORECAST(B14,$D$4:$D$13,$B$4:$B$13)</f>
        <v>190427.6</v>
      </c>
      <c r="E14" s="128">
        <f t="shared" si="3"/>
        <v>6.592555275678702E-2</v>
      </c>
      <c r="G14" s="125">
        <f t="shared" si="4"/>
        <v>11</v>
      </c>
      <c r="H14" s="126">
        <f t="shared" si="0"/>
        <v>46477</v>
      </c>
      <c r="I14" s="127">
        <f>FORECAST(G14,$I$4:$I$13,$G$4:$G$13)</f>
        <v>45213</v>
      </c>
      <c r="J14" s="128">
        <f t="shared" si="5"/>
        <v>6.9370860927152389E-2</v>
      </c>
      <c r="L14" s="125">
        <f t="shared" si="6"/>
        <v>11</v>
      </c>
      <c r="M14" s="126">
        <f t="shared" si="1"/>
        <v>46477</v>
      </c>
      <c r="N14" s="127">
        <f>FORECAST(L14,$N$4:$N$13,$L$4:$L$13)</f>
        <v>67.086266269383003</v>
      </c>
      <c r="O14" s="128">
        <f t="shared" si="7"/>
        <v>2.8989302530576522E-2</v>
      </c>
      <c r="Q14" s="120" t="s">
        <v>441</v>
      </c>
      <c r="R14" s="129">
        <f>1/(1+R13)^R12</f>
        <v>0.94663238039302655</v>
      </c>
      <c r="S14" s="129">
        <f>1/(1+S13)^S12</f>
        <v>0.84828945317859006</v>
      </c>
      <c r="T14" s="129">
        <f>1/(1+T13)^T12</f>
        <v>0.76016309105681246</v>
      </c>
      <c r="U14" s="129">
        <f>1/(1+U13)^U12</f>
        <v>0.68119192433646059</v>
      </c>
      <c r="V14" s="129">
        <f>1/(1+V13)^V12</f>
        <v>0.61042484598417646</v>
      </c>
    </row>
    <row r="15" spans="2:22" ht="15" customHeight="1" x14ac:dyDescent="0.2">
      <c r="B15" s="125">
        <f t="shared" si="2"/>
        <v>12</v>
      </c>
      <c r="C15" s="126">
        <f>C14+365</f>
        <v>46842</v>
      </c>
      <c r="D15" s="127">
        <f>FORECAST(B15,$D$4:$D$13,$B$4:$B$13)</f>
        <v>203656.94545454544</v>
      </c>
      <c r="E15" s="128">
        <f t="shared" si="3"/>
        <v>6.947178588894376E-2</v>
      </c>
      <c r="G15" s="125">
        <f t="shared" si="4"/>
        <v>12</v>
      </c>
      <c r="H15" s="126">
        <f t="shared" si="0"/>
        <v>46842</v>
      </c>
      <c r="I15" s="127">
        <f>FORECAST(G15,$I$4:$I$13,$G$4:$G$13)</f>
        <v>48118.745454545453</v>
      </c>
      <c r="J15" s="128">
        <f t="shared" si="5"/>
        <v>6.4267919725420786E-2</v>
      </c>
      <c r="L15" s="125">
        <f t="shared" si="6"/>
        <v>12</v>
      </c>
      <c r="M15" s="126">
        <f t="shared" si="1"/>
        <v>46842</v>
      </c>
      <c r="N15" s="127">
        <f>FORECAST(L15,$N$4:$N$13,$L$4:$L$13)</f>
        <v>71.521740231531979</v>
      </c>
      <c r="O15" s="128">
        <f t="shared" si="7"/>
        <v>6.611597587408502E-2</v>
      </c>
      <c r="Q15" s="28" t="s">
        <v>442</v>
      </c>
      <c r="R15" s="122">
        <f>R11*R14</f>
        <v>24217.850059120075</v>
      </c>
      <c r="S15" s="122">
        <f>S11*S14</f>
        <v>22241.869375101131</v>
      </c>
      <c r="T15" s="122">
        <f>T11*T14</f>
        <v>20476.648424499519</v>
      </c>
      <c r="U15" s="122">
        <f>U11*U14</f>
        <v>18835.357813554496</v>
      </c>
      <c r="V15" s="122">
        <f>V11*V14</f>
        <v>17273.180803133193</v>
      </c>
    </row>
    <row r="16" spans="2:22" ht="15" customHeight="1" x14ac:dyDescent="0.2">
      <c r="B16" s="125">
        <f t="shared" si="2"/>
        <v>13</v>
      </c>
      <c r="C16" s="126">
        <f>C15+365</f>
        <v>47207</v>
      </c>
      <c r="D16" s="127">
        <f>FORECAST(B16,$D$4:$D$13,$B$4:$B$13)</f>
        <v>216886.29090909089</v>
      </c>
      <c r="E16" s="128">
        <f t="shared" si="3"/>
        <v>6.4958970218367273E-2</v>
      </c>
      <c r="G16" s="125">
        <f t="shared" si="4"/>
        <v>13</v>
      </c>
      <c r="H16" s="126">
        <f t="shared" si="0"/>
        <v>47207</v>
      </c>
      <c r="I16" s="127">
        <f>FORECAST(G16,$I$4:$I$13,$G$4:$G$13)</f>
        <v>51024.490909090906</v>
      </c>
      <c r="J16" s="128">
        <f t="shared" si="5"/>
        <v>6.0386974496047907E-2</v>
      </c>
      <c r="L16" s="125">
        <f t="shared" si="6"/>
        <v>13</v>
      </c>
      <c r="M16" s="126">
        <f t="shared" si="1"/>
        <v>47207</v>
      </c>
      <c r="N16" s="127">
        <f>FORECAST(L16,$N$4:$N$13,$L$4:$L$13)</f>
        <v>75.957214193680954</v>
      </c>
      <c r="O16" s="128">
        <f t="shared" si="7"/>
        <v>6.2015744412682761E-2</v>
      </c>
    </row>
    <row r="17" spans="2:22" ht="15" customHeight="1" x14ac:dyDescent="0.2">
      <c r="B17" s="125">
        <f t="shared" si="2"/>
        <v>14</v>
      </c>
      <c r="C17" s="126">
        <f>C16+365</f>
        <v>47572</v>
      </c>
      <c r="D17" s="127">
        <f>FORECAST(B17,$D$4:$D$13,$B$4:$B$13)</f>
        <v>230115.63636363635</v>
      </c>
      <c r="E17" s="128">
        <f t="shared" si="3"/>
        <v>6.099668816822823E-2</v>
      </c>
      <c r="G17" s="125">
        <f t="shared" si="4"/>
        <v>14</v>
      </c>
      <c r="H17" s="126">
        <f t="shared" si="0"/>
        <v>47572</v>
      </c>
      <c r="I17" s="127">
        <f>FORECAST(G17,$I$4:$I$13,$G$4:$G$13)</f>
        <v>53930.236363636366</v>
      </c>
      <c r="J17" s="128">
        <f t="shared" si="5"/>
        <v>5.6948053822282185E-2</v>
      </c>
      <c r="L17" s="125">
        <f t="shared" si="6"/>
        <v>14</v>
      </c>
      <c r="M17" s="126">
        <f t="shared" si="1"/>
        <v>47572</v>
      </c>
      <c r="N17" s="127">
        <f>FORECAST(L17,$N$4:$N$13,$L$4:$L$13)</f>
        <v>80.392688155829944</v>
      </c>
      <c r="O17" s="128">
        <f t="shared" si="7"/>
        <v>5.8394373848929204E-2</v>
      </c>
      <c r="Q17" s="28" t="s">
        <v>55</v>
      </c>
      <c r="R17" s="130">
        <f>'Operating Drivers'!$B$44</f>
        <v>0.03</v>
      </c>
      <c r="S17" s="131"/>
      <c r="T17" s="131"/>
      <c r="U17" s="131"/>
      <c r="V17" s="131"/>
    </row>
    <row r="18" spans="2:22" ht="15" customHeight="1" x14ac:dyDescent="0.2">
      <c r="B18" s="125">
        <f t="shared" si="2"/>
        <v>15</v>
      </c>
      <c r="C18" s="126">
        <f>C17+365</f>
        <v>47937</v>
      </c>
      <c r="D18" s="127">
        <f>FORECAST(B18,$D$4:$D$13,$B$4:$B$13)</f>
        <v>243344.98181818181</v>
      </c>
      <c r="E18" s="128">
        <f t="shared" si="3"/>
        <v>5.748998922280979E-2</v>
      </c>
      <c r="G18" s="125">
        <f t="shared" si="4"/>
        <v>15</v>
      </c>
      <c r="H18" s="126">
        <f t="shared" si="0"/>
        <v>47937</v>
      </c>
      <c r="I18" s="127">
        <f>FORECAST(G18,$I$4:$I$13,$G$4:$G$13)</f>
        <v>56835.981818181819</v>
      </c>
      <c r="J18" s="128">
        <f t="shared" si="5"/>
        <v>5.3879709240523876E-2</v>
      </c>
      <c r="L18" s="125">
        <f t="shared" si="6"/>
        <v>15</v>
      </c>
      <c r="M18" s="126">
        <f t="shared" si="1"/>
        <v>47937</v>
      </c>
      <c r="N18" s="127">
        <f>FORECAST(L18,$N$4:$N$13,$L$4:$L$13)</f>
        <v>84.828162117978934</v>
      </c>
      <c r="O18" s="128">
        <f t="shared" si="7"/>
        <v>5.517260417454195E-2</v>
      </c>
      <c r="Q18" s="28" t="s">
        <v>417</v>
      </c>
      <c r="R18" s="131" t="str">
        <f>IF(R17&lt;MIN(R13:V13),"PASS","ERROR: g &gt;= WACC")</f>
        <v>PASS</v>
      </c>
    </row>
    <row r="19" spans="2:22" ht="15" customHeight="1" x14ac:dyDescent="0.2">
      <c r="B19" s="118"/>
      <c r="C19" s="132"/>
      <c r="E19" s="50"/>
      <c r="Q19" s="28" t="s">
        <v>443</v>
      </c>
      <c r="R19" t="s">
        <v>444</v>
      </c>
    </row>
    <row r="20" spans="2:22" ht="15" customHeight="1" x14ac:dyDescent="0.2">
      <c r="B20" s="118"/>
      <c r="C20" s="132"/>
      <c r="E20" s="50"/>
      <c r="Q20" s="28" t="s">
        <v>445</v>
      </c>
      <c r="R20" s="131" t="str">
        <f>IF(R18="PASS","Integrated / linked to Operating Drivers and DCF","Review")</f>
        <v>Integrated / linked to Operating Drivers and DCF</v>
      </c>
    </row>
  </sheetData>
  <mergeCells count="6">
    <mergeCell ref="B1:O1"/>
    <mergeCell ref="R1:V1"/>
    <mergeCell ref="B2:E2"/>
    <mergeCell ref="G2:J2"/>
    <mergeCell ref="L2:O2"/>
    <mergeCell ref="Q2:V2"/>
  </mergeCells>
  <pageMargins left="0.7" right="0.7" top="0.75" bottom="0.75"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548235"/>
  </sheetPr>
  <dimension ref="A1:F21"/>
  <sheetViews>
    <sheetView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8.6640625" defaultRowHeight="15" x14ac:dyDescent="0.2"/>
  <cols>
    <col min="1" max="1" width="32" customWidth="1"/>
    <col min="2" max="2" width="75" customWidth="1"/>
    <col min="3" max="6" width="24" customWidth="1"/>
  </cols>
  <sheetData>
    <row r="1" spans="1:6" ht="33.75" customHeight="1" x14ac:dyDescent="0.2">
      <c r="A1" s="13" t="s">
        <v>446</v>
      </c>
      <c r="B1" s="13"/>
      <c r="C1" s="13"/>
      <c r="D1" s="13"/>
      <c r="E1" s="13"/>
      <c r="F1" s="13"/>
    </row>
    <row r="2" spans="1:6" ht="15" customHeight="1" x14ac:dyDescent="0.2">
      <c r="A2" s="14" t="s">
        <v>447</v>
      </c>
      <c r="B2" s="14" t="s">
        <v>448</v>
      </c>
      <c r="C2" s="14" t="s">
        <v>449</v>
      </c>
      <c r="D2" s="14" t="s">
        <v>450</v>
      </c>
      <c r="E2" s="14" t="s">
        <v>451</v>
      </c>
      <c r="F2" s="14" t="s">
        <v>452</v>
      </c>
    </row>
    <row r="3" spans="1:6" ht="27.75" customHeight="1" x14ac:dyDescent="0.2">
      <c r="A3" s="15" t="s">
        <v>453</v>
      </c>
      <c r="B3" s="15">
        <v>1.4999999999999999E-2</v>
      </c>
      <c r="C3" s="20">
        <f>'Operating Drivers'!B34</f>
        <v>2.4580011195074025E-2</v>
      </c>
      <c r="D3" s="15">
        <v>0.03</v>
      </c>
      <c r="E3" s="15" t="s">
        <v>454</v>
      </c>
      <c r="F3" s="15" t="s">
        <v>325</v>
      </c>
    </row>
    <row r="4" spans="1:6" ht="15" customHeight="1" x14ac:dyDescent="0.2">
      <c r="A4" s="15" t="s">
        <v>455</v>
      </c>
      <c r="B4" s="15">
        <v>1.4999999999999999E-2</v>
      </c>
      <c r="C4" s="20">
        <f>'Operating Drivers'!C34</f>
        <v>2.5976364510826189E-2</v>
      </c>
      <c r="D4" s="15">
        <v>4.4999999999999998E-2</v>
      </c>
      <c r="E4" s="15" t="s">
        <v>456</v>
      </c>
      <c r="F4" s="15" t="s">
        <v>325</v>
      </c>
    </row>
    <row r="5" spans="1:6" ht="27.75" customHeight="1" x14ac:dyDescent="0.2">
      <c r="A5" s="15" t="s">
        <v>457</v>
      </c>
      <c r="B5" s="15">
        <v>1.4999999999999999E-2</v>
      </c>
      <c r="C5" s="20">
        <f>'Operating Drivers'!D34</f>
        <v>2.7325024108621587E-2</v>
      </c>
      <c r="D5" s="15">
        <v>4.4999999999999998E-2</v>
      </c>
      <c r="E5" s="15" t="s">
        <v>458</v>
      </c>
      <c r="F5" s="15" t="s">
        <v>325</v>
      </c>
    </row>
    <row r="6" spans="1:6" ht="27.75" customHeight="1" x14ac:dyDescent="0.2">
      <c r="A6" s="15" t="s">
        <v>459</v>
      </c>
      <c r="B6" s="15">
        <v>1.4999999999999999E-2</v>
      </c>
      <c r="C6" s="20">
        <f>'Operating Drivers'!E34</f>
        <v>2.8669517594937188E-2</v>
      </c>
      <c r="D6" s="15">
        <v>0.04</v>
      </c>
      <c r="E6" s="15" t="s">
        <v>460</v>
      </c>
      <c r="F6" s="15" t="s">
        <v>325</v>
      </c>
    </row>
    <row r="7" spans="1:6" ht="15" customHeight="1" x14ac:dyDescent="0.2">
      <c r="A7" s="15" t="s">
        <v>461</v>
      </c>
      <c r="B7" s="15">
        <v>1.4999999999999999E-2</v>
      </c>
      <c r="C7" s="20">
        <f>'Operating Drivers'!F34</f>
        <v>3.0000000000000027E-2</v>
      </c>
      <c r="D7" s="15">
        <v>0.04</v>
      </c>
      <c r="E7" s="15" t="s">
        <v>462</v>
      </c>
      <c r="F7" s="15" t="s">
        <v>325</v>
      </c>
    </row>
    <row r="8" spans="1:6" ht="27.75" customHeight="1" x14ac:dyDescent="0.2">
      <c r="A8" s="15" t="s">
        <v>463</v>
      </c>
      <c r="B8" s="15">
        <v>0.20499999999999999</v>
      </c>
      <c r="C8" s="20">
        <f>'Operating Drivers'!B35</f>
        <v>0.20970599000502585</v>
      </c>
      <c r="D8" s="15">
        <v>0.218</v>
      </c>
      <c r="E8" s="15" t="s">
        <v>464</v>
      </c>
      <c r="F8" s="15" t="s">
        <v>465</v>
      </c>
    </row>
    <row r="9" spans="1:6" ht="27.75" customHeight="1" x14ac:dyDescent="0.2">
      <c r="A9" s="15" t="s">
        <v>466</v>
      </c>
      <c r="B9" s="15">
        <v>0.20499999999999999</v>
      </c>
      <c r="C9" s="20">
        <f>'Operating Drivers'!C35</f>
        <v>0.21046475976774059</v>
      </c>
      <c r="D9" s="15">
        <v>0.22</v>
      </c>
      <c r="E9" s="15" t="s">
        <v>467</v>
      </c>
      <c r="F9" s="15" t="s">
        <v>465</v>
      </c>
    </row>
    <row r="10" spans="1:6" ht="15" customHeight="1" x14ac:dyDescent="0.2">
      <c r="A10" s="15" t="s">
        <v>468</v>
      </c>
      <c r="B10" s="15">
        <v>0.20499999999999999</v>
      </c>
      <c r="C10" s="20">
        <f>'Operating Drivers'!D35</f>
        <v>0.21148650952180148</v>
      </c>
      <c r="D10" s="15">
        <v>0.222</v>
      </c>
      <c r="E10" s="15" t="s">
        <v>469</v>
      </c>
      <c r="F10" s="15" t="s">
        <v>465</v>
      </c>
    </row>
    <row r="11" spans="1:6" ht="15" customHeight="1" x14ac:dyDescent="0.2">
      <c r="A11" s="15" t="s">
        <v>470</v>
      </c>
      <c r="B11" s="15">
        <v>0.20499999999999999</v>
      </c>
      <c r="C11" s="20">
        <f>'Operating Drivers'!E35</f>
        <v>0.21210499018333207</v>
      </c>
      <c r="D11" s="15">
        <v>0.223</v>
      </c>
      <c r="E11" s="15" t="s">
        <v>471</v>
      </c>
      <c r="F11" s="15" t="s">
        <v>465</v>
      </c>
    </row>
    <row r="12" spans="1:6" ht="27.75" customHeight="1" x14ac:dyDescent="0.2">
      <c r="A12" s="15" t="s">
        <v>472</v>
      </c>
      <c r="B12" s="15">
        <v>0.20499999999999999</v>
      </c>
      <c r="C12" s="20">
        <f>'Operating Drivers'!F35</f>
        <v>0.21227656389708874</v>
      </c>
      <c r="D12" s="15">
        <v>0.224</v>
      </c>
      <c r="E12" s="15" t="s">
        <v>473</v>
      </c>
      <c r="F12" s="15" t="s">
        <v>465</v>
      </c>
    </row>
    <row r="13" spans="1:6" ht="27.75" customHeight="1" x14ac:dyDescent="0.2">
      <c r="A13" s="15" t="s">
        <v>55</v>
      </c>
      <c r="B13" s="15">
        <v>2.5000000000000001E-2</v>
      </c>
      <c r="C13" s="20">
        <f>'Operating Drivers'!$B$44</f>
        <v>0.03</v>
      </c>
      <c r="D13" s="15">
        <v>3.5000000000000003E-2</v>
      </c>
      <c r="E13" s="15" t="s">
        <v>474</v>
      </c>
      <c r="F13" s="15" t="s">
        <v>475</v>
      </c>
    </row>
    <row r="14" spans="1:6" ht="27.75" customHeight="1" x14ac:dyDescent="0.2">
      <c r="A14" s="15" t="s">
        <v>56</v>
      </c>
      <c r="B14" s="15">
        <v>0.35</v>
      </c>
      <c r="C14" s="20">
        <f>'Operating Drivers'!$B$45</f>
        <v>0.4</v>
      </c>
      <c r="D14" s="15">
        <v>0.45</v>
      </c>
      <c r="E14" s="15" t="s">
        <v>476</v>
      </c>
      <c r="F14" s="15" t="s">
        <v>150</v>
      </c>
    </row>
    <row r="15" spans="1:6" ht="27.75" customHeight="1" x14ac:dyDescent="0.2">
      <c r="A15" s="15" t="s">
        <v>57</v>
      </c>
      <c r="B15" s="15">
        <f>B13/B14</f>
        <v>7.1428571428571438E-2</v>
      </c>
      <c r="C15" s="15">
        <f>C13/C14</f>
        <v>7.4999999999999997E-2</v>
      </c>
      <c r="D15" s="15">
        <f>D13/D14</f>
        <v>7.7777777777777779E-2</v>
      </c>
      <c r="E15" s="15" t="s">
        <v>477</v>
      </c>
      <c r="F15" s="15" t="s">
        <v>475</v>
      </c>
    </row>
    <row r="16" spans="1:6" ht="27.75" customHeight="1" x14ac:dyDescent="0.2">
      <c r="A16" s="15" t="s">
        <v>478</v>
      </c>
      <c r="B16" s="15">
        <v>0.29499999999999998</v>
      </c>
      <c r="C16" s="20">
        <f>'Operating Drivers'!$B$38</f>
        <v>0.29499999999999998</v>
      </c>
      <c r="D16" s="15">
        <v>0.29499999999999998</v>
      </c>
      <c r="E16" s="15" t="s">
        <v>479</v>
      </c>
      <c r="F16" s="15" t="s">
        <v>480</v>
      </c>
    </row>
    <row r="17" spans="1:6" ht="15" customHeight="1" x14ac:dyDescent="0.2">
      <c r="A17" s="15"/>
      <c r="B17" s="15"/>
      <c r="C17" s="15"/>
      <c r="D17" s="15"/>
      <c r="E17" s="15"/>
      <c r="F17" s="15"/>
    </row>
    <row r="18" spans="1:6" ht="15" customHeight="1" x14ac:dyDescent="0.2">
      <c r="A18" s="15" t="s">
        <v>481</v>
      </c>
      <c r="B18" s="15"/>
      <c r="C18" s="15"/>
      <c r="D18" s="15"/>
      <c r="E18" s="15"/>
      <c r="F18" s="15"/>
    </row>
    <row r="19" spans="1:6" ht="15" customHeight="1" x14ac:dyDescent="0.2">
      <c r="A19" s="15" t="s">
        <v>448</v>
      </c>
      <c r="B19" s="15" t="s">
        <v>482</v>
      </c>
      <c r="C19" s="15"/>
      <c r="D19" s="15"/>
      <c r="E19" s="15"/>
      <c r="F19" s="15"/>
    </row>
    <row r="20" spans="1:6" ht="15" customHeight="1" x14ac:dyDescent="0.2">
      <c r="A20" s="15" t="s">
        <v>449</v>
      </c>
      <c r="B20" s="15" t="s">
        <v>483</v>
      </c>
      <c r="C20" s="15"/>
      <c r="D20" s="15"/>
      <c r="E20" s="15"/>
      <c r="F20" s="15"/>
    </row>
    <row r="21" spans="1:6" ht="27.75" customHeight="1" x14ac:dyDescent="0.2">
      <c r="A21" s="15" t="s">
        <v>450</v>
      </c>
      <c r="B21" s="15" t="s">
        <v>484</v>
      </c>
      <c r="C21" s="15"/>
      <c r="D21" s="15"/>
      <c r="E21" s="15"/>
      <c r="F21" s="15"/>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548235"/>
  </sheetPr>
  <dimension ref="A1:N90"/>
  <sheetViews>
    <sheetView topLeftCell="A58" zoomScaleNormal="100" workbookViewId="0">
      <selection activeCell="R9" sqref="R9"/>
    </sheetView>
  </sheetViews>
  <sheetFormatPr baseColWidth="10" defaultColWidth="8.6640625" defaultRowHeight="15" x14ac:dyDescent="0.2"/>
  <cols>
    <col min="1" max="1" width="26" customWidth="1"/>
    <col min="2" max="6" width="16" customWidth="1"/>
    <col min="7" max="9" width="3" customWidth="1"/>
    <col min="10" max="11" width="18" customWidth="1"/>
    <col min="12" max="12" width="20" customWidth="1"/>
    <col min="13" max="13" width="14" customWidth="1"/>
    <col min="14" max="14" width="16" customWidth="1"/>
  </cols>
  <sheetData>
    <row r="1" spans="1:14" ht="17.25" customHeight="1" x14ac:dyDescent="0.2">
      <c r="A1" s="12" t="s">
        <v>485</v>
      </c>
      <c r="B1" s="12"/>
      <c r="C1" s="12"/>
      <c r="D1" s="12"/>
      <c r="E1" s="12"/>
      <c r="F1" s="12"/>
      <c r="G1" s="12"/>
      <c r="H1" s="12"/>
      <c r="I1" s="15"/>
      <c r="J1" s="16" t="s">
        <v>486</v>
      </c>
      <c r="K1" s="16"/>
      <c r="L1" s="16"/>
      <c r="M1" s="16"/>
      <c r="N1" s="16"/>
    </row>
    <row r="2" spans="1:14" ht="27.75" customHeight="1" x14ac:dyDescent="0.2">
      <c r="A2" s="11" t="s">
        <v>487</v>
      </c>
      <c r="B2" s="11"/>
      <c r="C2" s="11"/>
      <c r="D2" s="11"/>
      <c r="E2" s="11"/>
      <c r="F2" s="11"/>
      <c r="G2" s="11"/>
      <c r="H2" s="11"/>
      <c r="I2" s="15"/>
      <c r="J2" s="17" t="s">
        <v>488</v>
      </c>
      <c r="K2" s="17" t="s">
        <v>489</v>
      </c>
      <c r="L2" s="17" t="s">
        <v>73</v>
      </c>
      <c r="M2" s="17" t="s">
        <v>490</v>
      </c>
      <c r="N2" s="17" t="s">
        <v>56</v>
      </c>
    </row>
    <row r="3" spans="1:14" ht="15" customHeight="1" x14ac:dyDescent="0.2">
      <c r="A3" s="15"/>
      <c r="B3" s="15"/>
      <c r="C3" s="15"/>
      <c r="D3" s="15"/>
      <c r="E3" s="15"/>
      <c r="F3" s="15"/>
      <c r="G3" s="15"/>
      <c r="H3" s="15"/>
      <c r="I3" s="15"/>
      <c r="J3" s="15" t="s">
        <v>448</v>
      </c>
      <c r="K3" s="21">
        <f>B29</f>
        <v>715.09871573992143</v>
      </c>
      <c r="L3" s="20">
        <f>B30</f>
        <v>-0.36208856758258567</v>
      </c>
      <c r="M3" s="20">
        <f>B21</f>
        <v>2.5000000000000001E-2</v>
      </c>
      <c r="N3" s="20">
        <f>B22</f>
        <v>0.35</v>
      </c>
    </row>
    <row r="4" spans="1:14" ht="15" customHeight="1" x14ac:dyDescent="0.2">
      <c r="A4" s="15"/>
      <c r="B4" s="15"/>
      <c r="C4" s="15"/>
      <c r="D4" s="15"/>
      <c r="E4" s="15"/>
      <c r="F4" s="15"/>
      <c r="G4" s="15"/>
      <c r="H4" s="15"/>
      <c r="I4" s="15"/>
      <c r="J4" s="15" t="s">
        <v>449</v>
      </c>
      <c r="K4" s="21">
        <f>B59</f>
        <v>796.21700597998165</v>
      </c>
      <c r="L4" s="20">
        <f>B60</f>
        <v>-0.28972613204283526</v>
      </c>
      <c r="M4" s="20">
        <f>B51</f>
        <v>0.03</v>
      </c>
      <c r="N4" s="20">
        <f>B52</f>
        <v>0.4</v>
      </c>
    </row>
    <row r="5" spans="1:14" ht="15" customHeight="1" x14ac:dyDescent="0.2">
      <c r="A5" s="16" t="s">
        <v>491</v>
      </c>
      <c r="B5" s="16"/>
      <c r="C5" s="16"/>
      <c r="D5" s="16"/>
      <c r="E5" s="16"/>
      <c r="F5" s="16"/>
      <c r="G5" s="16"/>
      <c r="H5" s="16"/>
      <c r="I5" s="15"/>
      <c r="J5" s="15" t="s">
        <v>450</v>
      </c>
      <c r="K5" s="21">
        <f>B89</f>
        <v>910.32941074576468</v>
      </c>
      <c r="L5" s="20">
        <f>B90</f>
        <v>-0.18793094491903239</v>
      </c>
      <c r="M5" s="20">
        <f>B81</f>
        <v>3.5000000000000003E-2</v>
      </c>
      <c r="N5" s="20">
        <f>B82</f>
        <v>0.45</v>
      </c>
    </row>
    <row r="6" spans="1:14" ht="15" customHeight="1" x14ac:dyDescent="0.2">
      <c r="A6" s="17" t="s">
        <v>60</v>
      </c>
      <c r="B6" s="17" t="s">
        <v>401</v>
      </c>
      <c r="C6" s="17" t="s">
        <v>402</v>
      </c>
      <c r="D6" s="17" t="s">
        <v>403</v>
      </c>
      <c r="E6" s="17" t="s">
        <v>404</v>
      </c>
      <c r="F6" s="17" t="s">
        <v>405</v>
      </c>
      <c r="G6" s="15"/>
      <c r="H6" s="15"/>
      <c r="I6" s="15"/>
      <c r="J6" s="15"/>
      <c r="K6" s="15"/>
      <c r="L6" s="15"/>
      <c r="M6" s="15"/>
      <c r="N6" s="15"/>
    </row>
    <row r="7" spans="1:14" ht="15" customHeight="1" x14ac:dyDescent="0.2">
      <c r="A7" s="15" t="s">
        <v>406</v>
      </c>
      <c r="B7" s="110">
        <f>'Forecast Scenarios'!B3</f>
        <v>1.4999999999999999E-2</v>
      </c>
      <c r="C7" s="110">
        <f>'Forecast Scenarios'!B4</f>
        <v>1.4999999999999999E-2</v>
      </c>
      <c r="D7" s="110">
        <f>'Forecast Scenarios'!B5</f>
        <v>1.4999999999999999E-2</v>
      </c>
      <c r="E7" s="110">
        <f>'Forecast Scenarios'!B6</f>
        <v>1.4999999999999999E-2</v>
      </c>
      <c r="F7" s="110">
        <f>'Forecast Scenarios'!B7</f>
        <v>1.4999999999999999E-2</v>
      </c>
      <c r="G7" s="15"/>
      <c r="H7" s="15"/>
      <c r="I7" s="15"/>
      <c r="J7" s="18" t="s">
        <v>127</v>
      </c>
      <c r="K7" s="15"/>
      <c r="L7" s="15"/>
      <c r="M7" s="15"/>
      <c r="N7" s="15"/>
    </row>
    <row r="8" spans="1:14" ht="15" customHeight="1" x14ac:dyDescent="0.2">
      <c r="A8" s="15" t="s">
        <v>295</v>
      </c>
      <c r="B8" s="110">
        <f>'Forecast Scenarios'!B8</f>
        <v>0.20499999999999999</v>
      </c>
      <c r="C8" s="110">
        <f>'Forecast Scenarios'!B9</f>
        <v>0.20499999999999999</v>
      </c>
      <c r="D8" s="110">
        <f>'Forecast Scenarios'!B10</f>
        <v>0.20499999999999999</v>
      </c>
      <c r="E8" s="110">
        <f>'Forecast Scenarios'!B11</f>
        <v>0.20499999999999999</v>
      </c>
      <c r="F8" s="110">
        <f>'Forecast Scenarios'!B12</f>
        <v>0.20499999999999999</v>
      </c>
      <c r="G8" s="15"/>
      <c r="H8" s="15"/>
      <c r="I8" s="15"/>
      <c r="J8" s="11" t="s">
        <v>492</v>
      </c>
      <c r="K8" s="11"/>
      <c r="L8" s="11"/>
      <c r="M8" s="11"/>
      <c r="N8" s="11"/>
    </row>
    <row r="9" spans="1:14" ht="15" customHeight="1" x14ac:dyDescent="0.2">
      <c r="A9" s="15" t="s">
        <v>409</v>
      </c>
      <c r="B9" s="110">
        <v>0.4</v>
      </c>
      <c r="C9" s="110">
        <v>0.39</v>
      </c>
      <c r="D9" s="110">
        <v>0.38</v>
      </c>
      <c r="E9" s="110">
        <v>0.37</v>
      </c>
      <c r="F9" s="110">
        <v>0.35</v>
      </c>
      <c r="G9" s="15"/>
      <c r="H9" s="15"/>
      <c r="I9" s="15"/>
      <c r="J9" s="11"/>
      <c r="K9" s="11"/>
      <c r="L9" s="11"/>
      <c r="M9" s="11"/>
      <c r="N9" s="11"/>
    </row>
    <row r="10" spans="1:14" ht="15" customHeight="1" x14ac:dyDescent="0.2">
      <c r="A10" s="15" t="s">
        <v>410</v>
      </c>
      <c r="B10" s="20">
        <f>B7/B9</f>
        <v>3.7499999999999999E-2</v>
      </c>
      <c r="C10" s="20">
        <f>C7/C9</f>
        <v>3.8461538461538457E-2</v>
      </c>
      <c r="D10" s="20">
        <f>D7/D9</f>
        <v>3.9473684210526314E-2</v>
      </c>
      <c r="E10" s="20">
        <f>E7/E9</f>
        <v>4.0540540540540543E-2</v>
      </c>
      <c r="F10" s="20">
        <f>F7/F9</f>
        <v>4.2857142857142858E-2</v>
      </c>
      <c r="G10" s="15"/>
      <c r="H10" s="15"/>
      <c r="I10" s="15"/>
      <c r="J10" s="11"/>
      <c r="K10" s="11"/>
      <c r="L10" s="11"/>
      <c r="M10" s="11"/>
      <c r="N10" s="11"/>
    </row>
    <row r="11" spans="1:14" ht="15" customHeight="1" x14ac:dyDescent="0.2">
      <c r="A11" s="15" t="s">
        <v>438</v>
      </c>
      <c r="B11" s="20">
        <f>'Operating Drivers'!$B$38</f>
        <v>0.29499999999999998</v>
      </c>
      <c r="C11" s="20">
        <f>'Operating Drivers'!$B$38</f>
        <v>0.29499999999999998</v>
      </c>
      <c r="D11" s="20">
        <f>'Operating Drivers'!$B$38</f>
        <v>0.29499999999999998</v>
      </c>
      <c r="E11" s="20">
        <f>'Operating Drivers'!$B$38</f>
        <v>0.29499999999999998</v>
      </c>
      <c r="F11" s="20">
        <f>'Operating Drivers'!$B$38</f>
        <v>0.29499999999999998</v>
      </c>
      <c r="G11" s="15"/>
      <c r="H11" s="15"/>
      <c r="I11" s="15"/>
      <c r="J11" s="15"/>
      <c r="K11" s="15"/>
      <c r="L11" s="15"/>
      <c r="M11" s="15"/>
      <c r="N11" s="15"/>
    </row>
    <row r="12" spans="1:14" ht="15" customHeight="1" x14ac:dyDescent="0.2">
      <c r="A12" s="15" t="s">
        <v>440</v>
      </c>
      <c r="B12" s="15"/>
      <c r="C12" s="15"/>
      <c r="D12" s="15"/>
      <c r="E12" s="15"/>
      <c r="F12" s="15"/>
      <c r="G12" s="15"/>
      <c r="H12" s="15"/>
      <c r="I12" s="15"/>
      <c r="J12" s="15"/>
      <c r="K12" s="15"/>
      <c r="L12" s="15"/>
      <c r="M12" s="15"/>
      <c r="N12" s="15"/>
    </row>
    <row r="13" spans="1:14" ht="15" customHeight="1" x14ac:dyDescent="0.2">
      <c r="A13" s="15" t="s">
        <v>442</v>
      </c>
      <c r="B13" s="15"/>
      <c r="C13" s="15"/>
      <c r="D13" s="15"/>
      <c r="E13" s="15"/>
      <c r="F13" s="15"/>
      <c r="G13" s="15"/>
      <c r="H13" s="15"/>
      <c r="I13" s="15"/>
      <c r="J13" s="15"/>
      <c r="K13" s="15"/>
      <c r="L13" s="15"/>
      <c r="M13" s="15"/>
      <c r="N13" s="15"/>
    </row>
    <row r="14" spans="1:14" ht="15" customHeight="1" x14ac:dyDescent="0.2">
      <c r="A14" s="15"/>
      <c r="B14" s="15"/>
      <c r="C14" s="15"/>
      <c r="D14" s="15"/>
      <c r="E14" s="15"/>
      <c r="F14" s="15"/>
      <c r="G14" s="15"/>
      <c r="H14" s="15"/>
      <c r="I14" s="15"/>
      <c r="J14" s="15"/>
      <c r="K14" s="15"/>
      <c r="L14" s="15"/>
      <c r="M14" s="15"/>
      <c r="N14" s="15"/>
    </row>
    <row r="15" spans="1:14" ht="15" customHeight="1" x14ac:dyDescent="0.2">
      <c r="A15" s="15" t="s">
        <v>436</v>
      </c>
      <c r="B15" s="107">
        <f>HistoricalFS!$L$6*(1+B7)</f>
        <v>181329.74999999997</v>
      </c>
      <c r="C15" s="107">
        <f>B15*(1+C7)</f>
        <v>184049.69624999995</v>
      </c>
      <c r="D15" s="107">
        <f>C15*(1+D7)</f>
        <v>186810.44169374992</v>
      </c>
      <c r="E15" s="107">
        <f>D15*(1+E7)</f>
        <v>189612.59831915615</v>
      </c>
      <c r="F15" s="107">
        <f>E15*(1+F7)</f>
        <v>192456.78729394349</v>
      </c>
      <c r="G15" s="15"/>
      <c r="H15" s="15"/>
      <c r="I15" s="15"/>
      <c r="J15" s="15"/>
      <c r="K15" s="15"/>
      <c r="L15" s="15"/>
      <c r="M15" s="15"/>
      <c r="N15" s="15"/>
    </row>
    <row r="16" spans="1:14" ht="15" customHeight="1" x14ac:dyDescent="0.2">
      <c r="A16" s="15" t="s">
        <v>437</v>
      </c>
      <c r="B16" s="107">
        <f>B15*B8</f>
        <v>37172.59874999999</v>
      </c>
      <c r="C16" s="107">
        <f>C15*C8</f>
        <v>37730.187731249986</v>
      </c>
      <c r="D16" s="107">
        <f>D15*D8</f>
        <v>38296.140547218733</v>
      </c>
      <c r="E16" s="107">
        <f>E15*E8</f>
        <v>38870.58265542701</v>
      </c>
      <c r="F16" s="107">
        <f>F15*F8</f>
        <v>39453.641395258412</v>
      </c>
      <c r="G16" s="15"/>
      <c r="H16" s="15"/>
      <c r="I16" s="15"/>
      <c r="J16" s="15"/>
      <c r="K16" s="15"/>
      <c r="L16" s="15"/>
      <c r="M16" s="15"/>
      <c r="N16" s="15"/>
    </row>
    <row r="17" spans="1:14" ht="15" customHeight="1" x14ac:dyDescent="0.2">
      <c r="A17" s="15" t="s">
        <v>439</v>
      </c>
      <c r="B17" s="107">
        <f>B16*(1-B11)</f>
        <v>26206.682118749995</v>
      </c>
      <c r="C17" s="107">
        <f>C16*(1-C11)</f>
        <v>26599.782350531241</v>
      </c>
      <c r="D17" s="107">
        <f>D16*(1-D11)</f>
        <v>26998.779085789211</v>
      </c>
      <c r="E17" s="107">
        <f>E16*(1-E11)</f>
        <v>27403.760772076046</v>
      </c>
      <c r="F17" s="107">
        <f>F16*(1-F11)</f>
        <v>27814.817183657182</v>
      </c>
      <c r="G17" s="15"/>
      <c r="H17" s="15"/>
      <c r="I17" s="15"/>
      <c r="J17" s="15"/>
      <c r="K17" s="15"/>
      <c r="L17" s="15"/>
      <c r="M17" s="15"/>
      <c r="N17" s="15"/>
    </row>
    <row r="18" spans="1:14" ht="15" customHeight="1" x14ac:dyDescent="0.2">
      <c r="A18" s="15" t="s">
        <v>441</v>
      </c>
      <c r="B18" s="107">
        <f>1/(1+WACC!$L$45)^0.5</f>
        <v>0.94663238039302655</v>
      </c>
      <c r="C18" s="107">
        <f>1/(1+WACC!$L$45)^1.5</f>
        <v>0.84828945317859006</v>
      </c>
      <c r="D18" s="107">
        <f>1/(1+WACC!$L$45)^2.5</f>
        <v>0.76016309105681246</v>
      </c>
      <c r="E18" s="107">
        <f>1/(1+WACC!$L$45)^3.5</f>
        <v>0.68119192433646059</v>
      </c>
      <c r="F18" s="107">
        <f>1/(1+WACC!$L$45)^4.5</f>
        <v>0.61042484598417646</v>
      </c>
      <c r="G18" s="15"/>
      <c r="H18" s="15"/>
      <c r="I18" s="15"/>
      <c r="J18" s="15"/>
      <c r="K18" s="15"/>
      <c r="L18" s="15"/>
      <c r="M18" s="15"/>
      <c r="N18" s="15"/>
    </row>
    <row r="19" spans="1:14" ht="15" customHeight="1" x14ac:dyDescent="0.2">
      <c r="A19" s="15" t="s">
        <v>442</v>
      </c>
      <c r="B19" s="107">
        <f>B17*(1-B10)*B18</f>
        <v>23877.790355915335</v>
      </c>
      <c r="C19" s="107">
        <f>C17*(1-C10)*C18</f>
        <v>21696.456562309286</v>
      </c>
      <c r="D19" s="107">
        <f>D17*(1-D10)*D18</f>
        <v>19713.338179168277</v>
      </c>
      <c r="E19" s="107">
        <f>E17*(1-E10)*E18</f>
        <v>17910.441323532985</v>
      </c>
      <c r="F19" s="107">
        <f>F17*(1-F10)*F18</f>
        <v>16251.190259894305</v>
      </c>
      <c r="G19" s="15"/>
      <c r="H19" s="15"/>
      <c r="I19" s="15"/>
      <c r="J19" s="15"/>
      <c r="K19" s="15"/>
      <c r="L19" s="15"/>
      <c r="M19" s="15"/>
      <c r="N19" s="15"/>
    </row>
    <row r="20" spans="1:14" ht="15" customHeight="1" x14ac:dyDescent="0.2">
      <c r="A20" s="15"/>
      <c r="B20" s="15"/>
      <c r="C20" s="15"/>
      <c r="D20" s="15"/>
      <c r="E20" s="15"/>
      <c r="F20" s="15"/>
      <c r="G20" s="15"/>
      <c r="H20" s="15"/>
      <c r="I20" s="15"/>
      <c r="J20" s="15"/>
      <c r="K20" s="15"/>
      <c r="L20" s="15"/>
      <c r="M20" s="15"/>
      <c r="N20" s="15"/>
    </row>
    <row r="21" spans="1:14" ht="15" customHeight="1" x14ac:dyDescent="0.2">
      <c r="A21" s="15" t="s">
        <v>55</v>
      </c>
      <c r="B21" s="110">
        <f>'Forecast Scenarios'!B13</f>
        <v>2.5000000000000001E-2</v>
      </c>
      <c r="C21" s="15"/>
      <c r="D21" s="15"/>
      <c r="E21" s="15"/>
      <c r="F21" s="15"/>
      <c r="G21" s="15"/>
      <c r="H21" s="15"/>
      <c r="I21" s="15"/>
      <c r="J21" s="15"/>
      <c r="K21" s="15"/>
      <c r="L21" s="15"/>
      <c r="M21" s="15"/>
      <c r="N21" s="15"/>
    </row>
    <row r="22" spans="1:14" ht="15" customHeight="1" x14ac:dyDescent="0.2">
      <c r="A22" s="15" t="s">
        <v>56</v>
      </c>
      <c r="B22" s="110">
        <f>'Forecast Scenarios'!B14</f>
        <v>0.35</v>
      </c>
      <c r="C22" s="15"/>
      <c r="D22" s="15"/>
      <c r="E22" s="15"/>
      <c r="F22" s="15"/>
      <c r="G22" s="15"/>
      <c r="H22" s="15"/>
      <c r="I22" s="15"/>
      <c r="J22" s="15"/>
      <c r="K22" s="15"/>
      <c r="L22" s="15"/>
      <c r="M22" s="15"/>
      <c r="N22" s="15"/>
    </row>
    <row r="23" spans="1:14" ht="15" customHeight="1" x14ac:dyDescent="0.2">
      <c r="A23" s="15" t="s">
        <v>57</v>
      </c>
      <c r="B23" s="111">
        <f>B21/B22</f>
        <v>7.1428571428571438E-2</v>
      </c>
      <c r="C23" s="15"/>
      <c r="D23" s="15"/>
      <c r="E23" s="15"/>
      <c r="F23" s="15"/>
      <c r="G23" s="15"/>
      <c r="H23" s="15"/>
      <c r="I23" s="15"/>
      <c r="J23" s="15"/>
      <c r="K23" s="15"/>
      <c r="L23" s="15"/>
      <c r="M23" s="15"/>
      <c r="N23" s="15"/>
    </row>
    <row r="24" spans="1:14" ht="15" customHeight="1" x14ac:dyDescent="0.2">
      <c r="A24" s="15" t="s">
        <v>493</v>
      </c>
      <c r="B24" s="15">
        <f>F17*(1-B23)*(1+B21)</f>
        <v>26473.745640873709</v>
      </c>
      <c r="C24" s="15"/>
      <c r="D24" s="15"/>
      <c r="E24" s="15"/>
      <c r="F24" s="15"/>
      <c r="G24" s="15"/>
      <c r="H24" s="15"/>
      <c r="I24" s="15"/>
      <c r="J24" s="15"/>
      <c r="K24" s="15"/>
      <c r="L24" s="15"/>
      <c r="M24" s="15"/>
      <c r="N24" s="15"/>
    </row>
    <row r="25" spans="1:14" ht="15" customHeight="1" x14ac:dyDescent="0.2">
      <c r="A25" s="15" t="s">
        <v>120</v>
      </c>
      <c r="B25" s="15">
        <f>B24/(WACC!$L$45-B21)</f>
        <v>291141.48010647029</v>
      </c>
      <c r="C25" s="15"/>
      <c r="D25" s="15"/>
      <c r="E25" s="15"/>
      <c r="F25" s="15"/>
      <c r="G25" s="15"/>
      <c r="H25" s="15"/>
      <c r="I25" s="15"/>
      <c r="J25" s="15"/>
      <c r="K25" s="15"/>
      <c r="L25" s="15"/>
      <c r="M25" s="15"/>
      <c r="N25" s="15"/>
    </row>
    <row r="26" spans="1:14" ht="15" customHeight="1" x14ac:dyDescent="0.2">
      <c r="A26" s="15" t="s">
        <v>494</v>
      </c>
      <c r="B26" s="15">
        <f>B25/(1+WACC!$L$45)^4.5</f>
        <v>177719.99315359732</v>
      </c>
      <c r="C26" s="15"/>
      <c r="D26" s="15"/>
      <c r="E26" s="15"/>
      <c r="F26" s="15"/>
      <c r="G26" s="15"/>
      <c r="H26" s="15"/>
      <c r="I26" s="15"/>
      <c r="J26" s="15"/>
      <c r="K26" s="15"/>
      <c r="L26" s="15"/>
      <c r="M26" s="15"/>
      <c r="N26" s="15"/>
    </row>
    <row r="27" spans="1:14" ht="15" customHeight="1" x14ac:dyDescent="0.2">
      <c r="A27" s="15" t="s">
        <v>495</v>
      </c>
      <c r="B27" s="15">
        <f>SUM(B19:F19)</f>
        <v>99449.216680820187</v>
      </c>
      <c r="C27" s="15"/>
      <c r="D27" s="15"/>
      <c r="E27" s="15"/>
      <c r="F27" s="15"/>
      <c r="G27" s="15"/>
      <c r="H27" s="15"/>
      <c r="I27" s="15"/>
      <c r="J27" s="15"/>
      <c r="K27" s="15"/>
      <c r="L27" s="15"/>
      <c r="M27" s="15"/>
      <c r="N27" s="15"/>
    </row>
    <row r="28" spans="1:14" ht="15" customHeight="1" x14ac:dyDescent="0.2">
      <c r="A28" s="15" t="s">
        <v>122</v>
      </c>
      <c r="B28" s="15">
        <f>B26+B27-'DCF&gt;'!$D$43</f>
        <v>290194.2098344175</v>
      </c>
      <c r="C28" s="15"/>
      <c r="D28" s="15"/>
      <c r="E28" s="15"/>
      <c r="F28" s="15"/>
      <c r="G28" s="15"/>
      <c r="H28" s="15"/>
      <c r="I28" s="15"/>
      <c r="J28" s="15"/>
      <c r="K28" s="15"/>
      <c r="L28" s="15"/>
      <c r="M28" s="15"/>
      <c r="N28" s="15"/>
    </row>
    <row r="29" spans="1:14" ht="15" customHeight="1" x14ac:dyDescent="0.2">
      <c r="A29" s="15" t="s">
        <v>496</v>
      </c>
      <c r="B29" s="133">
        <f>B28/'DCF&gt;'!$D$46</f>
        <v>715.09871573992143</v>
      </c>
      <c r="C29" s="15"/>
      <c r="D29" s="15"/>
      <c r="E29" s="15"/>
      <c r="F29" s="15"/>
      <c r="G29" s="15"/>
      <c r="H29" s="15"/>
      <c r="I29" s="15"/>
      <c r="J29" s="15"/>
      <c r="K29" s="15"/>
      <c r="L29" s="15"/>
      <c r="M29" s="15"/>
      <c r="N29" s="15"/>
    </row>
    <row r="30" spans="1:14" ht="15" customHeight="1" x14ac:dyDescent="0.2">
      <c r="A30" s="15" t="s">
        <v>497</v>
      </c>
      <c r="B30" s="111">
        <f>B29/'DCF&gt;'!$D$50-1</f>
        <v>-0.36208856758258567</v>
      </c>
      <c r="C30" s="15"/>
      <c r="D30" s="15"/>
      <c r="E30" s="15"/>
      <c r="F30" s="15"/>
      <c r="G30" s="15"/>
      <c r="H30" s="15"/>
      <c r="I30" s="15"/>
      <c r="J30" s="15"/>
      <c r="K30" s="15"/>
      <c r="L30" s="15"/>
      <c r="M30" s="15"/>
      <c r="N30" s="15"/>
    </row>
    <row r="31" spans="1:14" ht="15" customHeight="1" x14ac:dyDescent="0.2">
      <c r="A31" s="15"/>
      <c r="B31" s="15"/>
      <c r="C31" s="15"/>
      <c r="D31" s="15"/>
      <c r="E31" s="15"/>
      <c r="F31" s="15"/>
      <c r="G31" s="15"/>
      <c r="H31" s="15"/>
      <c r="I31" s="15"/>
      <c r="J31" s="15"/>
      <c r="K31" s="15"/>
      <c r="L31" s="15"/>
      <c r="M31" s="15"/>
      <c r="N31" s="15"/>
    </row>
    <row r="32" spans="1:14" ht="15" customHeight="1" x14ac:dyDescent="0.2">
      <c r="A32" s="15"/>
      <c r="B32" s="15"/>
      <c r="C32" s="15"/>
      <c r="D32" s="15"/>
      <c r="E32" s="15"/>
      <c r="F32" s="15"/>
      <c r="G32" s="15"/>
      <c r="H32" s="15"/>
      <c r="I32" s="15"/>
      <c r="J32" s="15"/>
      <c r="K32" s="15"/>
      <c r="L32" s="15"/>
      <c r="M32" s="15"/>
      <c r="N32" s="15"/>
    </row>
    <row r="33" spans="1:14" ht="15" customHeight="1" x14ac:dyDescent="0.2">
      <c r="A33" s="15"/>
      <c r="B33" s="15"/>
      <c r="C33" s="15"/>
      <c r="D33" s="15"/>
      <c r="E33" s="15"/>
      <c r="F33" s="15"/>
      <c r="G33" s="15"/>
      <c r="H33" s="15"/>
      <c r="I33" s="15"/>
      <c r="J33" s="15"/>
      <c r="K33" s="15"/>
      <c r="L33" s="15"/>
      <c r="M33" s="15"/>
      <c r="N33" s="15"/>
    </row>
    <row r="34" spans="1:14" ht="15" customHeight="1" x14ac:dyDescent="0.2">
      <c r="A34" s="15"/>
      <c r="B34" s="15"/>
      <c r="C34" s="15"/>
      <c r="D34" s="15"/>
      <c r="E34" s="15"/>
      <c r="F34" s="15"/>
      <c r="G34" s="15"/>
      <c r="H34" s="15"/>
      <c r="I34" s="15"/>
      <c r="J34" s="15"/>
      <c r="K34" s="15"/>
      <c r="L34" s="15"/>
      <c r="M34" s="15"/>
      <c r="N34" s="15"/>
    </row>
    <row r="35" spans="1:14" ht="15" customHeight="1" x14ac:dyDescent="0.2">
      <c r="A35" s="16" t="s">
        <v>498</v>
      </c>
      <c r="B35" s="16"/>
      <c r="C35" s="16"/>
      <c r="D35" s="16"/>
      <c r="E35" s="16"/>
      <c r="F35" s="16"/>
      <c r="G35" s="16"/>
      <c r="H35" s="16"/>
      <c r="I35" s="15"/>
      <c r="J35" s="15"/>
      <c r="K35" s="15"/>
      <c r="L35" s="15"/>
      <c r="M35" s="15"/>
      <c r="N35" s="15"/>
    </row>
    <row r="36" spans="1:14" ht="15" customHeight="1" x14ac:dyDescent="0.2">
      <c r="A36" s="17" t="s">
        <v>60</v>
      </c>
      <c r="B36" s="17" t="s">
        <v>401</v>
      </c>
      <c r="C36" s="17" t="s">
        <v>402</v>
      </c>
      <c r="D36" s="17" t="s">
        <v>403</v>
      </c>
      <c r="E36" s="17" t="s">
        <v>404</v>
      </c>
      <c r="F36" s="17" t="s">
        <v>405</v>
      </c>
      <c r="G36" s="15"/>
      <c r="H36" s="15"/>
      <c r="I36" s="15"/>
      <c r="J36" s="15"/>
      <c r="K36" s="15"/>
      <c r="L36" s="15"/>
      <c r="M36" s="15"/>
      <c r="N36" s="15"/>
    </row>
    <row r="37" spans="1:14" ht="15" customHeight="1" x14ac:dyDescent="0.2">
      <c r="A37" s="15" t="s">
        <v>406</v>
      </c>
      <c r="B37" s="110">
        <f>'Operating Drivers'!B34</f>
        <v>2.4580011195074025E-2</v>
      </c>
      <c r="C37" s="110">
        <f>'Operating Drivers'!C34</f>
        <v>2.5976364510826189E-2</v>
      </c>
      <c r="D37" s="110">
        <f>'Operating Drivers'!D34</f>
        <v>2.7325024108621587E-2</v>
      </c>
      <c r="E37" s="110">
        <f>'Operating Drivers'!E34</f>
        <v>2.8669517594937188E-2</v>
      </c>
      <c r="F37" s="110">
        <f>'Operating Drivers'!F34</f>
        <v>3.0000000000000027E-2</v>
      </c>
      <c r="G37" s="15"/>
      <c r="H37" s="15"/>
      <c r="I37" s="15"/>
      <c r="J37" s="15"/>
      <c r="K37" s="15"/>
      <c r="L37" s="15"/>
      <c r="M37" s="15"/>
      <c r="N37" s="15"/>
    </row>
    <row r="38" spans="1:14" ht="15" customHeight="1" x14ac:dyDescent="0.2">
      <c r="A38" s="15" t="s">
        <v>295</v>
      </c>
      <c r="B38" s="110">
        <f>'Operating Drivers'!B35</f>
        <v>0.20970599000502585</v>
      </c>
      <c r="C38" s="110">
        <f>'Operating Drivers'!C35</f>
        <v>0.21046475976774059</v>
      </c>
      <c r="D38" s="110">
        <f>'Operating Drivers'!D35</f>
        <v>0.21148650952180148</v>
      </c>
      <c r="E38" s="110">
        <f>'Operating Drivers'!E35</f>
        <v>0.21210499018333207</v>
      </c>
      <c r="F38" s="110">
        <f>'Operating Drivers'!F35</f>
        <v>0.21227656389708874</v>
      </c>
      <c r="G38" s="15"/>
      <c r="H38" s="15"/>
      <c r="I38" s="15"/>
      <c r="J38" s="15"/>
      <c r="K38" s="15"/>
      <c r="L38" s="15"/>
      <c r="M38" s="15"/>
      <c r="N38" s="15"/>
    </row>
    <row r="39" spans="1:14" ht="15" customHeight="1" x14ac:dyDescent="0.2">
      <c r="A39" s="15" t="s">
        <v>409</v>
      </c>
      <c r="B39" s="110">
        <f>'Operating Drivers'!B36</f>
        <v>0.45</v>
      </c>
      <c r="C39" s="110">
        <f>'Operating Drivers'!C36</f>
        <v>0.44</v>
      </c>
      <c r="D39" s="110">
        <f>'Operating Drivers'!D36</f>
        <v>0.43</v>
      </c>
      <c r="E39" s="110">
        <f>'Operating Drivers'!E36</f>
        <v>0.42</v>
      </c>
      <c r="F39" s="110">
        <f>'Operating Drivers'!F36</f>
        <v>0.4</v>
      </c>
      <c r="G39" s="15"/>
      <c r="H39" s="15"/>
      <c r="I39" s="15"/>
      <c r="J39" s="15"/>
      <c r="K39" s="15"/>
      <c r="L39" s="15"/>
      <c r="M39" s="15"/>
      <c r="N39" s="15"/>
    </row>
    <row r="40" spans="1:14" ht="15" customHeight="1" x14ac:dyDescent="0.2">
      <c r="A40" s="15" t="s">
        <v>410</v>
      </c>
      <c r="B40" s="20">
        <f>B37/B39</f>
        <v>5.46222471001645E-2</v>
      </c>
      <c r="C40" s="20">
        <f>C37/C39</f>
        <v>5.9037192070059523E-2</v>
      </c>
      <c r="D40" s="20">
        <f>D37/D39</f>
        <v>6.3546567694468814E-2</v>
      </c>
      <c r="E40" s="20">
        <f>E37/E39</f>
        <v>6.826075617842188E-2</v>
      </c>
      <c r="F40" s="20">
        <f>F37/F39</f>
        <v>7.5000000000000067E-2</v>
      </c>
      <c r="G40" s="15"/>
      <c r="H40" s="15"/>
      <c r="I40" s="15"/>
      <c r="J40" s="15"/>
      <c r="K40" s="15"/>
      <c r="L40" s="15"/>
      <c r="M40" s="15"/>
      <c r="N40" s="15"/>
    </row>
    <row r="41" spans="1:14" ht="15" customHeight="1" x14ac:dyDescent="0.2">
      <c r="A41" s="15" t="s">
        <v>438</v>
      </c>
      <c r="B41" s="20">
        <f>'Operating Drivers'!$B$38</f>
        <v>0.29499999999999998</v>
      </c>
      <c r="C41" s="20">
        <f>'Operating Drivers'!$B$38</f>
        <v>0.29499999999999998</v>
      </c>
      <c r="D41" s="20">
        <f>'Operating Drivers'!$B$38</f>
        <v>0.29499999999999998</v>
      </c>
      <c r="E41" s="20">
        <f>'Operating Drivers'!$B$38</f>
        <v>0.29499999999999998</v>
      </c>
      <c r="F41" s="20">
        <f>'Operating Drivers'!$B$38</f>
        <v>0.29499999999999998</v>
      </c>
      <c r="G41" s="15"/>
      <c r="H41" s="15"/>
      <c r="I41" s="15"/>
      <c r="J41" s="15"/>
      <c r="K41" s="15"/>
      <c r="L41" s="15"/>
      <c r="M41" s="15"/>
      <c r="N41" s="15"/>
    </row>
    <row r="42" spans="1:14" ht="15" customHeight="1" x14ac:dyDescent="0.2">
      <c r="A42" s="15" t="s">
        <v>440</v>
      </c>
      <c r="B42" s="15"/>
      <c r="C42" s="15"/>
      <c r="D42" s="15"/>
      <c r="E42" s="15"/>
      <c r="F42" s="15"/>
      <c r="G42" s="15"/>
      <c r="H42" s="15"/>
      <c r="I42" s="15"/>
      <c r="J42" s="15"/>
      <c r="K42" s="15"/>
      <c r="L42" s="15"/>
      <c r="M42" s="15"/>
      <c r="N42" s="15"/>
    </row>
    <row r="43" spans="1:14" ht="15" customHeight="1" x14ac:dyDescent="0.2">
      <c r="A43" s="15" t="s">
        <v>442</v>
      </c>
      <c r="B43" s="15"/>
      <c r="C43" s="15"/>
      <c r="D43" s="15"/>
      <c r="E43" s="15"/>
      <c r="F43" s="15"/>
      <c r="G43" s="15"/>
      <c r="H43" s="15"/>
      <c r="I43" s="15"/>
      <c r="J43" s="15"/>
      <c r="K43" s="15"/>
      <c r="L43" s="15"/>
      <c r="M43" s="15"/>
      <c r="N43" s="15"/>
    </row>
    <row r="44" spans="1:14" ht="15" customHeight="1" x14ac:dyDescent="0.2">
      <c r="A44" s="15"/>
      <c r="B44" s="15"/>
      <c r="C44" s="15"/>
      <c r="D44" s="15"/>
      <c r="E44" s="15"/>
      <c r="F44" s="15"/>
      <c r="G44" s="15"/>
      <c r="H44" s="15"/>
      <c r="I44" s="15"/>
      <c r="J44" s="15"/>
      <c r="K44" s="15"/>
      <c r="L44" s="15"/>
      <c r="M44" s="15"/>
      <c r="N44" s="15"/>
    </row>
    <row r="45" spans="1:14" ht="15" customHeight="1" x14ac:dyDescent="0.2">
      <c r="A45" s="15" t="s">
        <v>436</v>
      </c>
      <c r="B45" s="107">
        <f>HistoricalFS!$L$6*(1+B37)</f>
        <v>183041.21899999998</v>
      </c>
      <c r="C45" s="107">
        <f>B45*(1+C37)</f>
        <v>187795.96442524996</v>
      </c>
      <c r="D45" s="107">
        <f>C45*(1+D37)</f>
        <v>192927.49368067176</v>
      </c>
      <c r="E45" s="107">
        <f>D45*(1+E37)</f>
        <v>198458.6318552969</v>
      </c>
      <c r="F45" s="107">
        <f>E45*(1+F37)</f>
        <v>204412.39081095581</v>
      </c>
      <c r="G45" s="15"/>
      <c r="H45" s="15"/>
      <c r="I45" s="15"/>
      <c r="J45" s="15"/>
      <c r="K45" s="15"/>
      <c r="L45" s="15"/>
      <c r="M45" s="15"/>
      <c r="N45" s="15"/>
    </row>
    <row r="46" spans="1:14" ht="15" customHeight="1" x14ac:dyDescent="0.2">
      <c r="A46" s="15" t="s">
        <v>437</v>
      </c>
      <c r="B46" s="107">
        <f>B45*B38</f>
        <v>38384.840042121745</v>
      </c>
      <c r="C46" s="107">
        <f>C45*C38</f>
        <v>39524.432538111389</v>
      </c>
      <c r="D46" s="107">
        <f>D45*D38</f>
        <v>40801.562229314681</v>
      </c>
      <c r="E46" s="107">
        <f>E45*E38</f>
        <v>42094.066161465264</v>
      </c>
      <c r="F46" s="107">
        <f>F45*F38</f>
        <v>43391.959939338536</v>
      </c>
      <c r="G46" s="15"/>
      <c r="H46" s="15"/>
      <c r="I46" s="15"/>
      <c r="J46" s="15"/>
      <c r="K46" s="15"/>
      <c r="L46" s="15"/>
      <c r="M46" s="15"/>
      <c r="N46" s="15"/>
    </row>
    <row r="47" spans="1:14" ht="15" customHeight="1" x14ac:dyDescent="0.2">
      <c r="A47" s="15" t="s">
        <v>439</v>
      </c>
      <c r="B47" s="107">
        <f>B46*(1-B41)</f>
        <v>27061.312229695832</v>
      </c>
      <c r="C47" s="107">
        <f>C46*(1-C41)</f>
        <v>27864.724939368531</v>
      </c>
      <c r="D47" s="107">
        <f>D46*(1-D41)</f>
        <v>28765.101371666853</v>
      </c>
      <c r="E47" s="107">
        <f>E46*(1-E41)</f>
        <v>29676.316643833015</v>
      </c>
      <c r="F47" s="107">
        <f>F46*(1-F41)</f>
        <v>30591.331757233671</v>
      </c>
      <c r="G47" s="15"/>
      <c r="H47" s="15"/>
      <c r="I47" s="15"/>
      <c r="J47" s="15"/>
      <c r="K47" s="15"/>
      <c r="L47" s="15"/>
      <c r="M47" s="15"/>
      <c r="N47" s="15"/>
    </row>
    <row r="48" spans="1:14" ht="15" customHeight="1" x14ac:dyDescent="0.2">
      <c r="A48" s="15" t="s">
        <v>441</v>
      </c>
      <c r="B48" s="107">
        <f>1/(1+WACC!$L$45)^0.5</f>
        <v>0.94663238039302655</v>
      </c>
      <c r="C48" s="107">
        <f>1/(1+WACC!$L$45)^1.5</f>
        <v>0.84828945317859006</v>
      </c>
      <c r="D48" s="107">
        <f>1/(1+WACC!$L$45)^2.5</f>
        <v>0.76016309105681246</v>
      </c>
      <c r="E48" s="107">
        <f>1/(1+WACC!$L$45)^3.5</f>
        <v>0.68119192433646059</v>
      </c>
      <c r="F48" s="107">
        <f>1/(1+WACC!$L$45)^4.5</f>
        <v>0.61042484598417646</v>
      </c>
      <c r="G48" s="15"/>
      <c r="H48" s="15"/>
      <c r="I48" s="15"/>
      <c r="J48" s="15"/>
      <c r="K48" s="15"/>
      <c r="L48" s="15"/>
      <c r="M48" s="15"/>
      <c r="N48" s="15"/>
    </row>
    <row r="49" spans="1:14" ht="15" customHeight="1" x14ac:dyDescent="0.2">
      <c r="A49" s="15" t="s">
        <v>442</v>
      </c>
      <c r="B49" s="107">
        <f>B47*(1-B40)*B48</f>
        <v>24217.850059120075</v>
      </c>
      <c r="C49" s="107">
        <f>C47*(1-C40)*C48</f>
        <v>22241.869375101131</v>
      </c>
      <c r="D49" s="107">
        <f>D47*(1-D40)*D48</f>
        <v>20476.648424499519</v>
      </c>
      <c r="E49" s="107">
        <f>E47*(1-E40)*E48</f>
        <v>18835.357813554496</v>
      </c>
      <c r="F49" s="107">
        <f>F47*(1-F40)*F48</f>
        <v>17273.180803133193</v>
      </c>
      <c r="G49" s="15"/>
      <c r="H49" s="15"/>
      <c r="I49" s="15"/>
      <c r="J49" s="15"/>
      <c r="K49" s="15"/>
      <c r="L49" s="15"/>
      <c r="M49" s="15"/>
      <c r="N49" s="15"/>
    </row>
    <row r="50" spans="1:14" ht="15" customHeight="1" x14ac:dyDescent="0.2">
      <c r="A50" s="15"/>
      <c r="B50" s="15"/>
      <c r="C50" s="15"/>
      <c r="D50" s="15"/>
      <c r="E50" s="15"/>
      <c r="F50" s="15"/>
      <c r="G50" s="15"/>
      <c r="H50" s="15"/>
      <c r="I50" s="15"/>
      <c r="J50" s="15"/>
      <c r="K50" s="15"/>
      <c r="L50" s="15"/>
      <c r="M50" s="15"/>
      <c r="N50" s="15"/>
    </row>
    <row r="51" spans="1:14" ht="15" customHeight="1" x14ac:dyDescent="0.2">
      <c r="A51" s="15" t="s">
        <v>55</v>
      </c>
      <c r="B51" s="110">
        <f>'Operating Drivers'!$B$44</f>
        <v>0.03</v>
      </c>
      <c r="C51" s="15"/>
      <c r="D51" s="15"/>
      <c r="E51" s="15"/>
      <c r="F51" s="15"/>
      <c r="G51" s="15"/>
      <c r="H51" s="15"/>
      <c r="I51" s="15"/>
      <c r="J51" s="15"/>
      <c r="K51" s="15"/>
      <c r="L51" s="15"/>
      <c r="M51" s="15"/>
      <c r="N51" s="15"/>
    </row>
    <row r="52" spans="1:14" ht="15" customHeight="1" x14ac:dyDescent="0.2">
      <c r="A52" s="15" t="s">
        <v>56</v>
      </c>
      <c r="B52" s="110">
        <f>'Operating Drivers'!$B$45</f>
        <v>0.4</v>
      </c>
      <c r="C52" s="15"/>
      <c r="D52" s="15"/>
      <c r="E52" s="15"/>
      <c r="F52" s="15"/>
      <c r="G52" s="15"/>
      <c r="H52" s="15"/>
      <c r="I52" s="15"/>
      <c r="J52" s="15"/>
      <c r="K52" s="15"/>
      <c r="L52" s="15"/>
      <c r="M52" s="15"/>
      <c r="N52" s="15"/>
    </row>
    <row r="53" spans="1:14" ht="15" customHeight="1" x14ac:dyDescent="0.2">
      <c r="A53" s="15" t="s">
        <v>57</v>
      </c>
      <c r="B53" s="111">
        <f>B51/B52</f>
        <v>7.4999999999999997E-2</v>
      </c>
      <c r="C53" s="15"/>
      <c r="D53" s="15"/>
      <c r="E53" s="15"/>
      <c r="F53" s="15"/>
      <c r="G53" s="15"/>
      <c r="H53" s="15"/>
      <c r="I53" s="15"/>
      <c r="J53" s="15"/>
      <c r="K53" s="15"/>
      <c r="L53" s="15"/>
      <c r="M53" s="15"/>
      <c r="N53" s="15"/>
    </row>
    <row r="54" spans="1:14" ht="15" customHeight="1" x14ac:dyDescent="0.2">
      <c r="A54" s="15" t="s">
        <v>493</v>
      </c>
      <c r="B54" s="15">
        <f>F47*(1-B53)*(1+B51)</f>
        <v>29145.891331704381</v>
      </c>
      <c r="C54" s="15"/>
      <c r="D54" s="15"/>
      <c r="E54" s="15"/>
      <c r="F54" s="15"/>
      <c r="G54" s="15"/>
      <c r="H54" s="15"/>
      <c r="I54" s="15"/>
      <c r="J54" s="15"/>
      <c r="K54" s="15"/>
      <c r="L54" s="15"/>
      <c r="M54" s="15"/>
      <c r="N54" s="15"/>
    </row>
    <row r="55" spans="1:14" ht="15" customHeight="1" x14ac:dyDescent="0.2">
      <c r="A55" s="15" t="s">
        <v>120</v>
      </c>
      <c r="B55" s="15">
        <f>B54/(WACC!$L$45-B51)</f>
        <v>339178.39040040469</v>
      </c>
      <c r="C55" s="15"/>
      <c r="D55" s="15"/>
      <c r="E55" s="15"/>
      <c r="F55" s="15"/>
      <c r="G55" s="15"/>
      <c r="H55" s="15"/>
      <c r="I55" s="15"/>
      <c r="J55" s="15"/>
      <c r="K55" s="15"/>
      <c r="L55" s="15"/>
      <c r="M55" s="15"/>
      <c r="N55" s="15"/>
    </row>
    <row r="56" spans="1:14" ht="15" customHeight="1" x14ac:dyDescent="0.2">
      <c r="A56" s="15" t="s">
        <v>494</v>
      </c>
      <c r="B56" s="15">
        <f>B55/(1+WACC!$L$45)^4.5</f>
        <v>207042.91672132793</v>
      </c>
      <c r="C56" s="15"/>
      <c r="D56" s="15"/>
      <c r="E56" s="15"/>
      <c r="F56" s="15"/>
      <c r="G56" s="15"/>
      <c r="H56" s="15"/>
      <c r="I56" s="15"/>
      <c r="J56" s="15"/>
      <c r="K56" s="15"/>
      <c r="L56" s="15"/>
      <c r="M56" s="15"/>
      <c r="N56" s="15"/>
    </row>
    <row r="57" spans="1:14" ht="15" customHeight="1" x14ac:dyDescent="0.2">
      <c r="A57" s="15" t="s">
        <v>495</v>
      </c>
      <c r="B57" s="15">
        <f>SUM(B49:F49)</f>
        <v>103044.90647540841</v>
      </c>
      <c r="C57" s="15"/>
      <c r="D57" s="15"/>
      <c r="E57" s="15"/>
      <c r="F57" s="15"/>
      <c r="G57" s="15"/>
      <c r="H57" s="15"/>
      <c r="I57" s="15"/>
      <c r="J57" s="15"/>
      <c r="K57" s="15"/>
      <c r="L57" s="15"/>
      <c r="M57" s="15"/>
      <c r="N57" s="15"/>
    </row>
    <row r="58" spans="1:14" ht="15" customHeight="1" x14ac:dyDescent="0.2">
      <c r="A58" s="15" t="s">
        <v>122</v>
      </c>
      <c r="B58" s="15">
        <f>B56+B57-'DCF&gt;'!$D$43</f>
        <v>323112.82319673634</v>
      </c>
      <c r="C58" s="15"/>
      <c r="D58" s="15"/>
      <c r="E58" s="15"/>
      <c r="F58" s="15"/>
      <c r="G58" s="15"/>
      <c r="H58" s="15"/>
      <c r="I58" s="15"/>
      <c r="J58" s="15"/>
      <c r="K58" s="15"/>
      <c r="L58" s="15"/>
      <c r="M58" s="15"/>
      <c r="N58" s="15"/>
    </row>
    <row r="59" spans="1:14" ht="15" customHeight="1" x14ac:dyDescent="0.2">
      <c r="A59" s="15" t="s">
        <v>496</v>
      </c>
      <c r="B59" s="133">
        <f>B58/'DCF&gt;'!$D$46</f>
        <v>796.21700597998165</v>
      </c>
      <c r="C59" s="15"/>
      <c r="D59" s="15"/>
      <c r="E59" s="15"/>
      <c r="F59" s="15"/>
      <c r="G59" s="15"/>
      <c r="H59" s="15"/>
      <c r="I59" s="15"/>
      <c r="J59" s="15"/>
      <c r="K59" s="15"/>
      <c r="L59" s="15"/>
      <c r="M59" s="15"/>
      <c r="N59" s="15"/>
    </row>
    <row r="60" spans="1:14" ht="15" customHeight="1" x14ac:dyDescent="0.2">
      <c r="A60" s="15" t="s">
        <v>497</v>
      </c>
      <c r="B60" s="111">
        <f>B59/'DCF&gt;'!$D$50-1</f>
        <v>-0.28972613204283526</v>
      </c>
      <c r="C60" s="15"/>
      <c r="D60" s="15"/>
      <c r="E60" s="15"/>
      <c r="F60" s="15"/>
      <c r="G60" s="15"/>
      <c r="H60" s="15"/>
      <c r="I60" s="15"/>
      <c r="J60" s="15"/>
      <c r="K60" s="15"/>
      <c r="L60" s="15"/>
      <c r="M60" s="15"/>
      <c r="N60" s="15"/>
    </row>
    <row r="61" spans="1:14" ht="15" customHeight="1" x14ac:dyDescent="0.2">
      <c r="A61" s="15"/>
      <c r="B61" s="15"/>
      <c r="C61" s="15"/>
      <c r="D61" s="15"/>
      <c r="E61" s="15"/>
      <c r="F61" s="15"/>
      <c r="G61" s="15"/>
      <c r="H61" s="15"/>
      <c r="I61" s="15"/>
      <c r="J61" s="15"/>
      <c r="K61" s="15"/>
      <c r="L61" s="15"/>
      <c r="M61" s="15"/>
      <c r="N61" s="15"/>
    </row>
    <row r="62" spans="1:14" ht="15" customHeight="1" x14ac:dyDescent="0.2">
      <c r="A62" s="15"/>
      <c r="B62" s="15"/>
      <c r="C62" s="15"/>
      <c r="D62" s="15"/>
      <c r="E62" s="15"/>
      <c r="F62" s="15"/>
      <c r="G62" s="15"/>
      <c r="H62" s="15"/>
      <c r="I62" s="15"/>
      <c r="J62" s="15"/>
      <c r="K62" s="15"/>
      <c r="L62" s="15"/>
      <c r="M62" s="15"/>
      <c r="N62" s="15"/>
    </row>
    <row r="63" spans="1:14" ht="15" customHeight="1" x14ac:dyDescent="0.2">
      <c r="A63" s="15"/>
      <c r="B63" s="15"/>
      <c r="C63" s="15"/>
      <c r="D63" s="15"/>
      <c r="E63" s="15"/>
      <c r="F63" s="15"/>
      <c r="G63" s="15"/>
      <c r="H63" s="15"/>
      <c r="I63" s="15"/>
      <c r="J63" s="15"/>
      <c r="K63" s="15"/>
      <c r="L63" s="15"/>
      <c r="M63" s="15"/>
      <c r="N63" s="15"/>
    </row>
    <row r="64" spans="1:14" ht="15" customHeight="1" x14ac:dyDescent="0.2">
      <c r="A64" s="15"/>
      <c r="B64" s="15"/>
      <c r="C64" s="15"/>
      <c r="D64" s="15"/>
      <c r="E64" s="15"/>
      <c r="F64" s="15"/>
      <c r="G64" s="15"/>
      <c r="H64" s="15"/>
      <c r="I64" s="15"/>
      <c r="J64" s="15"/>
      <c r="K64" s="15"/>
      <c r="L64" s="15"/>
      <c r="M64" s="15"/>
      <c r="N64" s="15"/>
    </row>
    <row r="65" spans="1:14" ht="15" customHeight="1" x14ac:dyDescent="0.2">
      <c r="A65" s="16" t="s">
        <v>499</v>
      </c>
      <c r="B65" s="16"/>
      <c r="C65" s="16"/>
      <c r="D65" s="16"/>
      <c r="E65" s="16"/>
      <c r="F65" s="16"/>
      <c r="G65" s="16"/>
      <c r="H65" s="16"/>
      <c r="I65" s="15"/>
      <c r="J65" s="15"/>
      <c r="K65" s="15"/>
      <c r="L65" s="15"/>
      <c r="M65" s="15"/>
      <c r="N65" s="15"/>
    </row>
    <row r="66" spans="1:14" ht="15" customHeight="1" x14ac:dyDescent="0.2">
      <c r="A66" s="17" t="s">
        <v>60</v>
      </c>
      <c r="B66" s="17" t="s">
        <v>401</v>
      </c>
      <c r="C66" s="17" t="s">
        <v>402</v>
      </c>
      <c r="D66" s="17" t="s">
        <v>403</v>
      </c>
      <c r="E66" s="17" t="s">
        <v>404</v>
      </c>
      <c r="F66" s="17" t="s">
        <v>405</v>
      </c>
      <c r="G66" s="15"/>
      <c r="H66" s="15"/>
      <c r="I66" s="15"/>
      <c r="J66" s="15"/>
      <c r="K66" s="15"/>
      <c r="L66" s="15"/>
      <c r="M66" s="15"/>
      <c r="N66" s="15"/>
    </row>
    <row r="67" spans="1:14" ht="15" customHeight="1" x14ac:dyDescent="0.2">
      <c r="A67" s="15" t="s">
        <v>406</v>
      </c>
      <c r="B67" s="110">
        <f>'Forecast Scenarios'!D3</f>
        <v>0.03</v>
      </c>
      <c r="C67" s="110">
        <f>'Forecast Scenarios'!D4</f>
        <v>4.4999999999999998E-2</v>
      </c>
      <c r="D67" s="110">
        <f>'Forecast Scenarios'!D5</f>
        <v>4.4999999999999998E-2</v>
      </c>
      <c r="E67" s="110">
        <f>'Forecast Scenarios'!D6</f>
        <v>0.04</v>
      </c>
      <c r="F67" s="110">
        <f>'Forecast Scenarios'!D7</f>
        <v>0.04</v>
      </c>
      <c r="G67" s="15"/>
      <c r="H67" s="15"/>
      <c r="I67" s="15"/>
      <c r="J67" s="15"/>
      <c r="K67" s="15"/>
      <c r="L67" s="15"/>
      <c r="M67" s="15"/>
      <c r="N67" s="15"/>
    </row>
    <row r="68" spans="1:14" ht="15" customHeight="1" x14ac:dyDescent="0.2">
      <c r="A68" s="15" t="s">
        <v>295</v>
      </c>
      <c r="B68" s="110">
        <f>'Forecast Scenarios'!D8</f>
        <v>0.218</v>
      </c>
      <c r="C68" s="110">
        <f>'Forecast Scenarios'!D9</f>
        <v>0.22</v>
      </c>
      <c r="D68" s="110">
        <f>'Forecast Scenarios'!D10</f>
        <v>0.222</v>
      </c>
      <c r="E68" s="110">
        <f>'Forecast Scenarios'!D11</f>
        <v>0.223</v>
      </c>
      <c r="F68" s="110">
        <f>'Forecast Scenarios'!D12</f>
        <v>0.224</v>
      </c>
      <c r="G68" s="15"/>
      <c r="H68" s="15"/>
      <c r="I68" s="15"/>
      <c r="J68" s="15"/>
      <c r="K68" s="15"/>
      <c r="L68" s="15"/>
      <c r="M68" s="15"/>
      <c r="N68" s="15"/>
    </row>
    <row r="69" spans="1:14" ht="15" customHeight="1" x14ac:dyDescent="0.2">
      <c r="A69" s="15" t="s">
        <v>409</v>
      </c>
      <c r="B69" s="110">
        <v>0.49</v>
      </c>
      <c r="C69" s="110">
        <v>0.49</v>
      </c>
      <c r="D69" s="110">
        <v>0.48</v>
      </c>
      <c r="E69" s="110">
        <v>0.46</v>
      </c>
      <c r="F69" s="110">
        <v>0.45</v>
      </c>
      <c r="G69" s="15"/>
      <c r="H69" s="15"/>
      <c r="I69" s="15"/>
      <c r="J69" s="15"/>
      <c r="K69" s="15"/>
      <c r="L69" s="15"/>
      <c r="M69" s="15"/>
      <c r="N69" s="15"/>
    </row>
    <row r="70" spans="1:14" ht="15" customHeight="1" x14ac:dyDescent="0.2">
      <c r="A70" s="15" t="s">
        <v>410</v>
      </c>
      <c r="B70" s="20">
        <f>B67/B69</f>
        <v>6.1224489795918366E-2</v>
      </c>
      <c r="C70" s="20">
        <f>C67/C69</f>
        <v>9.1836734693877556E-2</v>
      </c>
      <c r="D70" s="20">
        <f>D67/D69</f>
        <v>9.375E-2</v>
      </c>
      <c r="E70" s="20">
        <f>E67/E69</f>
        <v>8.6956521739130432E-2</v>
      </c>
      <c r="F70" s="20">
        <f>F67/F69</f>
        <v>8.8888888888888892E-2</v>
      </c>
      <c r="G70" s="15"/>
      <c r="H70" s="15"/>
      <c r="I70" s="15"/>
      <c r="J70" s="15"/>
      <c r="K70" s="15"/>
      <c r="L70" s="15"/>
      <c r="M70" s="15"/>
      <c r="N70" s="15"/>
    </row>
    <row r="71" spans="1:14" ht="15" customHeight="1" x14ac:dyDescent="0.2">
      <c r="A71" s="15" t="s">
        <v>438</v>
      </c>
      <c r="B71" s="20">
        <f>'Operating Drivers'!$B$38</f>
        <v>0.29499999999999998</v>
      </c>
      <c r="C71" s="20">
        <f>'Operating Drivers'!$B$38</f>
        <v>0.29499999999999998</v>
      </c>
      <c r="D71" s="20">
        <f>'Operating Drivers'!$B$38</f>
        <v>0.29499999999999998</v>
      </c>
      <c r="E71" s="20">
        <f>'Operating Drivers'!$B$38</f>
        <v>0.29499999999999998</v>
      </c>
      <c r="F71" s="20">
        <f>'Operating Drivers'!$B$38</f>
        <v>0.29499999999999998</v>
      </c>
      <c r="G71" s="15"/>
      <c r="H71" s="15"/>
      <c r="I71" s="15"/>
      <c r="J71" s="15"/>
      <c r="K71" s="15"/>
      <c r="L71" s="15"/>
      <c r="M71" s="15"/>
      <c r="N71" s="15"/>
    </row>
    <row r="72" spans="1:14" ht="15" customHeight="1" x14ac:dyDescent="0.2">
      <c r="A72" s="15" t="s">
        <v>440</v>
      </c>
      <c r="B72" s="15"/>
      <c r="C72" s="15"/>
      <c r="D72" s="15"/>
      <c r="E72" s="15"/>
      <c r="F72" s="15"/>
      <c r="G72" s="15"/>
      <c r="H72" s="15"/>
      <c r="I72" s="15"/>
      <c r="J72" s="15"/>
      <c r="K72" s="15"/>
      <c r="L72" s="15"/>
      <c r="M72" s="15"/>
      <c r="N72" s="15"/>
    </row>
    <row r="73" spans="1:14" ht="15" customHeight="1" x14ac:dyDescent="0.2">
      <c r="A73" s="15" t="s">
        <v>442</v>
      </c>
      <c r="B73" s="15"/>
      <c r="C73" s="15"/>
      <c r="D73" s="15"/>
      <c r="E73" s="15"/>
      <c r="F73" s="15"/>
      <c r="G73" s="15"/>
      <c r="H73" s="15"/>
      <c r="I73" s="15"/>
      <c r="J73" s="15"/>
      <c r="K73" s="15"/>
      <c r="L73" s="15"/>
      <c r="M73" s="15"/>
      <c r="N73" s="15"/>
    </row>
    <row r="74" spans="1:14" ht="15" customHeight="1" x14ac:dyDescent="0.2">
      <c r="A74" s="15"/>
      <c r="B74" s="15"/>
      <c r="C74" s="15"/>
      <c r="D74" s="15"/>
      <c r="E74" s="15"/>
      <c r="F74" s="15"/>
      <c r="G74" s="15"/>
      <c r="H74" s="15"/>
      <c r="I74" s="15"/>
      <c r="J74" s="15"/>
      <c r="K74" s="15"/>
      <c r="L74" s="15"/>
      <c r="M74" s="15"/>
      <c r="N74" s="15"/>
    </row>
    <row r="75" spans="1:14" ht="15" customHeight="1" x14ac:dyDescent="0.2">
      <c r="A75" s="15" t="s">
        <v>436</v>
      </c>
      <c r="B75" s="107">
        <f>HistoricalFS!$L$6*(1+B67)</f>
        <v>184009.5</v>
      </c>
      <c r="C75" s="107">
        <f>B75*(1+C67)</f>
        <v>192289.92749999999</v>
      </c>
      <c r="D75" s="107">
        <f>C75*(1+D67)</f>
        <v>200942.97423749996</v>
      </c>
      <c r="E75" s="107">
        <f>D75*(1+E67)</f>
        <v>208980.69320699997</v>
      </c>
      <c r="F75" s="107">
        <f>E75*(1+F67)</f>
        <v>217339.92093527998</v>
      </c>
      <c r="G75" s="15"/>
      <c r="H75" s="15"/>
      <c r="I75" s="15"/>
      <c r="J75" s="15"/>
      <c r="K75" s="15"/>
      <c r="L75" s="15"/>
      <c r="M75" s="15"/>
      <c r="N75" s="15"/>
    </row>
    <row r="76" spans="1:14" ht="15" customHeight="1" x14ac:dyDescent="0.2">
      <c r="A76" s="15" t="s">
        <v>437</v>
      </c>
      <c r="B76" s="107">
        <f>B75*B68</f>
        <v>40114.070999999996</v>
      </c>
      <c r="C76" s="107">
        <f>C75*C68</f>
        <v>42303.784049999995</v>
      </c>
      <c r="D76" s="107">
        <f>D75*D68</f>
        <v>44609.340280724995</v>
      </c>
      <c r="E76" s="107">
        <f>E75*E68</f>
        <v>46602.694585160993</v>
      </c>
      <c r="F76" s="107">
        <f>F75*F68</f>
        <v>48684.142289502714</v>
      </c>
      <c r="G76" s="15"/>
      <c r="H76" s="15"/>
      <c r="I76" s="15"/>
      <c r="J76" s="15"/>
      <c r="K76" s="15"/>
      <c r="L76" s="15"/>
      <c r="M76" s="15"/>
      <c r="N76" s="15"/>
    </row>
    <row r="77" spans="1:14" ht="15" customHeight="1" x14ac:dyDescent="0.2">
      <c r="A77" s="15" t="s">
        <v>439</v>
      </c>
      <c r="B77" s="107">
        <f>B76*(1-B71)</f>
        <v>28280.420054999999</v>
      </c>
      <c r="C77" s="107">
        <f>C76*(1-C71)</f>
        <v>29824.16775525</v>
      </c>
      <c r="D77" s="107">
        <f>D76*(1-D71)</f>
        <v>31449.584897911125</v>
      </c>
      <c r="E77" s="107">
        <f>E76*(1-E71)</f>
        <v>32854.899682538504</v>
      </c>
      <c r="F77" s="107">
        <f>F76*(1-F71)</f>
        <v>34322.320314099416</v>
      </c>
      <c r="G77" s="15"/>
      <c r="H77" s="15"/>
      <c r="I77" s="15"/>
      <c r="J77" s="15"/>
      <c r="K77" s="15"/>
      <c r="L77" s="15"/>
      <c r="M77" s="15"/>
      <c r="N77" s="15"/>
    </row>
    <row r="78" spans="1:14" ht="15" customHeight="1" x14ac:dyDescent="0.2">
      <c r="A78" s="15" t="s">
        <v>441</v>
      </c>
      <c r="B78" s="107">
        <f>1/(1+WACC!$L$45)^0.5</f>
        <v>0.94663238039302655</v>
      </c>
      <c r="C78" s="107">
        <f>1/(1+WACC!$L$45)^1.5</f>
        <v>0.84828945317859006</v>
      </c>
      <c r="D78" s="107">
        <f>1/(1+WACC!$L$45)^2.5</f>
        <v>0.76016309105681246</v>
      </c>
      <c r="E78" s="107">
        <f>1/(1+WACC!$L$45)^3.5</f>
        <v>0.68119192433646059</v>
      </c>
      <c r="F78" s="107">
        <f>1/(1+WACC!$L$45)^4.5</f>
        <v>0.61042484598417646</v>
      </c>
      <c r="G78" s="15"/>
      <c r="H78" s="15"/>
      <c r="I78" s="15"/>
      <c r="J78" s="15"/>
      <c r="K78" s="15"/>
      <c r="L78" s="15"/>
      <c r="M78" s="15"/>
      <c r="N78" s="15"/>
    </row>
    <row r="79" spans="1:14" ht="15" customHeight="1" x14ac:dyDescent="0.2">
      <c r="A79" s="15" t="s">
        <v>442</v>
      </c>
      <c r="B79" s="107">
        <f>B77*(1-B70)*B78</f>
        <v>25132.110659964277</v>
      </c>
      <c r="C79" s="107">
        <f>C77*(1-C70)*C78</f>
        <v>22976.101011612987</v>
      </c>
      <c r="D79" s="107">
        <f>D77*(1-D70)*D78</f>
        <v>21665.549887032601</v>
      </c>
      <c r="E79" s="107">
        <f>E77*(1-E70)*E78</f>
        <v>20434.362570053272</v>
      </c>
      <c r="F79" s="107">
        <f>F77*(1-F70)*F78</f>
        <v>19088.868461193379</v>
      </c>
      <c r="G79" s="15"/>
      <c r="H79" s="15"/>
      <c r="I79" s="15"/>
      <c r="J79" s="15"/>
      <c r="K79" s="15"/>
      <c r="L79" s="15"/>
      <c r="M79" s="15"/>
      <c r="N79" s="15"/>
    </row>
    <row r="80" spans="1:14" ht="15" customHeight="1" x14ac:dyDescent="0.2">
      <c r="A80" s="15"/>
      <c r="B80" s="15"/>
      <c r="C80" s="15"/>
      <c r="D80" s="15"/>
      <c r="E80" s="15"/>
      <c r="F80" s="15"/>
      <c r="G80" s="15"/>
      <c r="H80" s="15"/>
      <c r="I80" s="15"/>
      <c r="J80" s="15"/>
      <c r="K80" s="15"/>
      <c r="L80" s="15"/>
      <c r="M80" s="15"/>
      <c r="N80" s="15"/>
    </row>
    <row r="81" spans="1:14" ht="15" customHeight="1" x14ac:dyDescent="0.2">
      <c r="A81" s="15" t="s">
        <v>55</v>
      </c>
      <c r="B81" s="110">
        <f>'Forecast Scenarios'!D13</f>
        <v>3.5000000000000003E-2</v>
      </c>
      <c r="C81" s="15"/>
      <c r="D81" s="15"/>
      <c r="E81" s="15"/>
      <c r="F81" s="15"/>
      <c r="G81" s="15"/>
      <c r="H81" s="15"/>
      <c r="I81" s="15"/>
      <c r="J81" s="15"/>
      <c r="K81" s="15"/>
      <c r="L81" s="15"/>
      <c r="M81" s="15"/>
      <c r="N81" s="15"/>
    </row>
    <row r="82" spans="1:14" ht="15" customHeight="1" x14ac:dyDescent="0.2">
      <c r="A82" s="15" t="s">
        <v>56</v>
      </c>
      <c r="B82" s="110">
        <f>'Forecast Scenarios'!D14</f>
        <v>0.45</v>
      </c>
      <c r="C82" s="15"/>
      <c r="D82" s="15"/>
      <c r="E82" s="15"/>
      <c r="F82" s="15"/>
      <c r="G82" s="15"/>
      <c r="H82" s="15"/>
      <c r="I82" s="15"/>
      <c r="J82" s="15"/>
      <c r="K82" s="15"/>
      <c r="L82" s="15"/>
      <c r="M82" s="15"/>
      <c r="N82" s="15"/>
    </row>
    <row r="83" spans="1:14" ht="15" customHeight="1" x14ac:dyDescent="0.2">
      <c r="A83" s="15" t="s">
        <v>57</v>
      </c>
      <c r="B83" s="111">
        <f>B81/B82</f>
        <v>7.7777777777777779E-2</v>
      </c>
      <c r="C83" s="15"/>
      <c r="D83" s="15"/>
      <c r="E83" s="15"/>
      <c r="F83" s="15"/>
      <c r="G83" s="15"/>
      <c r="H83" s="15"/>
      <c r="I83" s="15"/>
      <c r="J83" s="15"/>
      <c r="K83" s="15"/>
      <c r="L83" s="15"/>
      <c r="M83" s="15"/>
      <c r="N83" s="15"/>
    </row>
    <row r="84" spans="1:14" ht="15" customHeight="1" x14ac:dyDescent="0.2">
      <c r="A84" s="15" t="s">
        <v>493</v>
      </c>
      <c r="B84" s="15">
        <f>F77*(1-B83)*(1+B81)</f>
        <v>32760.654739807891</v>
      </c>
      <c r="C84" s="15"/>
      <c r="D84" s="15"/>
      <c r="E84" s="15"/>
      <c r="F84" s="15"/>
      <c r="G84" s="15"/>
      <c r="H84" s="15"/>
      <c r="I84" s="15"/>
      <c r="J84" s="15"/>
      <c r="K84" s="15"/>
      <c r="L84" s="15"/>
      <c r="M84" s="15"/>
      <c r="N84" s="15"/>
    </row>
    <row r="85" spans="1:14" ht="15" customHeight="1" x14ac:dyDescent="0.2">
      <c r="A85" s="15" t="s">
        <v>120</v>
      </c>
      <c r="B85" s="15">
        <f>B84/(WACC!$L$45-B81)</f>
        <v>404798.04714778526</v>
      </c>
      <c r="C85" s="15"/>
      <c r="D85" s="15"/>
      <c r="E85" s="15"/>
      <c r="F85" s="15"/>
      <c r="G85" s="15"/>
      <c r="H85" s="15"/>
      <c r="I85" s="15"/>
      <c r="J85" s="15"/>
      <c r="K85" s="15"/>
      <c r="L85" s="15"/>
      <c r="M85" s="15"/>
      <c r="N85" s="15"/>
    </row>
    <row r="86" spans="1:14" ht="15" customHeight="1" x14ac:dyDescent="0.2">
      <c r="A86" s="15" t="s">
        <v>494</v>
      </c>
      <c r="B86" s="15">
        <f>B85/(1+WACC!$L$45)^4.5</f>
        <v>247098.78558488222</v>
      </c>
      <c r="C86" s="15"/>
      <c r="D86" s="15"/>
      <c r="E86" s="15"/>
      <c r="F86" s="15"/>
      <c r="G86" s="15"/>
      <c r="H86" s="15"/>
      <c r="I86" s="15"/>
      <c r="J86" s="15"/>
      <c r="K86" s="15"/>
      <c r="L86" s="15"/>
      <c r="M86" s="15"/>
      <c r="N86" s="15"/>
    </row>
    <row r="87" spans="1:14" ht="15" customHeight="1" x14ac:dyDescent="0.2">
      <c r="A87" s="15" t="s">
        <v>495</v>
      </c>
      <c r="B87" s="15">
        <f>SUM(B79:F79)</f>
        <v>109296.99258985653</v>
      </c>
      <c r="C87" s="15"/>
      <c r="D87" s="15"/>
      <c r="E87" s="15"/>
      <c r="F87" s="15"/>
      <c r="G87" s="15"/>
      <c r="H87" s="15"/>
      <c r="I87" s="15"/>
      <c r="J87" s="15"/>
      <c r="K87" s="15"/>
      <c r="L87" s="15"/>
      <c r="M87" s="15"/>
      <c r="N87" s="15"/>
    </row>
    <row r="88" spans="1:14" ht="15" customHeight="1" x14ac:dyDescent="0.2">
      <c r="A88" s="15" t="s">
        <v>122</v>
      </c>
      <c r="B88" s="15">
        <f>B86+B87-'DCF&gt;'!$D$43</f>
        <v>369420.77817473875</v>
      </c>
      <c r="C88" s="15"/>
      <c r="D88" s="15"/>
      <c r="E88" s="15"/>
      <c r="F88" s="15"/>
      <c r="G88" s="15"/>
      <c r="H88" s="15"/>
      <c r="I88" s="15"/>
      <c r="J88" s="15"/>
      <c r="K88" s="15"/>
      <c r="L88" s="15"/>
      <c r="M88" s="15"/>
      <c r="N88" s="15"/>
    </row>
    <row r="89" spans="1:14" ht="15" customHeight="1" x14ac:dyDescent="0.2">
      <c r="A89" s="15" t="s">
        <v>496</v>
      </c>
      <c r="B89" s="133">
        <f>B88/'DCF&gt;'!$D$46</f>
        <v>910.32941074576468</v>
      </c>
      <c r="C89" s="15"/>
      <c r="D89" s="15"/>
      <c r="E89" s="15"/>
      <c r="F89" s="15"/>
      <c r="G89" s="15"/>
      <c r="H89" s="15"/>
      <c r="I89" s="15"/>
      <c r="J89" s="15"/>
      <c r="K89" s="15"/>
      <c r="L89" s="15"/>
      <c r="M89" s="15"/>
      <c r="N89" s="15"/>
    </row>
    <row r="90" spans="1:14" ht="15" customHeight="1" x14ac:dyDescent="0.2">
      <c r="A90" s="15" t="s">
        <v>497</v>
      </c>
      <c r="B90" s="111">
        <f>B89/'DCF&gt;'!$D$50-1</f>
        <v>-0.18793094491903239</v>
      </c>
      <c r="C90" s="15"/>
      <c r="D90" s="15"/>
      <c r="E90" s="15"/>
      <c r="F90" s="15"/>
      <c r="G90" s="15"/>
      <c r="H90" s="15"/>
      <c r="I90" s="15"/>
      <c r="J90" s="15"/>
      <c r="K90" s="15"/>
      <c r="L90" s="15"/>
      <c r="M90" s="15"/>
      <c r="N90" s="15"/>
    </row>
  </sheetData>
  <mergeCells count="3">
    <mergeCell ref="A1:H1"/>
    <mergeCell ref="A2:H2"/>
    <mergeCell ref="J8:N10"/>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548235"/>
  </sheetPr>
  <dimension ref="A1:H20"/>
  <sheetViews>
    <sheetView zoomScaleNormal="100" workbookViewId="0">
      <pane xSplit="1" ySplit="2" topLeftCell="B3" activePane="bottomRight" state="frozen"/>
      <selection pane="topRight" activeCell="B1" sqref="B1"/>
      <selection pane="bottomLeft" activeCell="A3" sqref="A3"/>
      <selection pane="bottomRight" activeCell="C3" sqref="C3"/>
    </sheetView>
  </sheetViews>
  <sheetFormatPr baseColWidth="10" defaultColWidth="8.6640625" defaultRowHeight="15" x14ac:dyDescent="0.2"/>
  <cols>
    <col min="1" max="1" width="36" customWidth="1"/>
    <col min="2" max="8" width="18" customWidth="1"/>
  </cols>
  <sheetData>
    <row r="1" spans="1:8" ht="17.25" customHeight="1" x14ac:dyDescent="0.2">
      <c r="A1" s="13" t="s">
        <v>500</v>
      </c>
      <c r="B1" s="13"/>
      <c r="C1" s="13"/>
      <c r="D1" s="13"/>
      <c r="E1" s="13"/>
      <c r="F1" s="13"/>
      <c r="G1" s="13"/>
      <c r="H1" s="13"/>
    </row>
    <row r="2" spans="1:8" ht="15" customHeight="1" x14ac:dyDescent="0.2">
      <c r="A2" s="14" t="s">
        <v>501</v>
      </c>
      <c r="B2" s="14" t="s">
        <v>502</v>
      </c>
      <c r="C2" s="14" t="s">
        <v>503</v>
      </c>
      <c r="D2" s="14" t="s">
        <v>128</v>
      </c>
      <c r="E2" s="14" t="s">
        <v>129</v>
      </c>
      <c r="F2" s="14" t="s">
        <v>130</v>
      </c>
      <c r="G2" s="14" t="s">
        <v>131</v>
      </c>
      <c r="H2" s="14" t="s">
        <v>132</v>
      </c>
    </row>
    <row r="3" spans="1:8" ht="15" customHeight="1" x14ac:dyDescent="0.2">
      <c r="A3" s="15" t="s">
        <v>390</v>
      </c>
      <c r="B3" s="107">
        <v>45175</v>
      </c>
      <c r="C3" s="107">
        <v>49908</v>
      </c>
      <c r="D3" s="107">
        <f>C3*(1+'Operating Drivers'!E21)</f>
        <v>51055.883999999998</v>
      </c>
      <c r="E3" s="107">
        <f>D3*(1+((D3/C3-1)*75%+'Operating Drivers'!$B$17*25%))</f>
        <v>52319.517128999993</v>
      </c>
      <c r="F3" s="107">
        <f>E3*(1+((E3/D3-1)*67%+'Operating Drivers'!$B$17*33%))</f>
        <v>53705.068741368734</v>
      </c>
      <c r="G3" s="107">
        <f>F3*(1+((F3/E3-1)*50%+'Operating Drivers'!$B$17*50%))</f>
        <v>55221.767013960911</v>
      </c>
      <c r="H3" s="107">
        <f>G3*(1+'Operating Drivers'!$B$17)</f>
        <v>56878.420024379739</v>
      </c>
    </row>
    <row r="4" spans="1:8" ht="15" customHeight="1" x14ac:dyDescent="0.2">
      <c r="A4" s="15" t="s">
        <v>391</v>
      </c>
      <c r="B4" s="107">
        <v>25207</v>
      </c>
      <c r="C4" s="107">
        <v>29078</v>
      </c>
      <c r="D4" s="107">
        <f>C4*(1+'Operating Drivers'!E22)</f>
        <v>30095.729999999996</v>
      </c>
      <c r="E4" s="107">
        <f>D4*(1+((D4/C4-1)*75%+'Operating Drivers'!$B$17*25%))</f>
        <v>31111.460887499994</v>
      </c>
      <c r="F4" s="107">
        <f>E4*(1+((E4/D4-1)*67%+'Operating Drivers'!$B$17*33%))</f>
        <v>32122.972259604834</v>
      </c>
      <c r="G4" s="107">
        <f>F4*(1+((F4/E4-1)*50%+'Operating Drivers'!$B$17*50%))</f>
        <v>33127.015911294104</v>
      </c>
      <c r="H4" s="107">
        <f>G4*(1+'Operating Drivers'!$B$17)</f>
        <v>34120.82638863293</v>
      </c>
    </row>
    <row r="5" spans="1:8" ht="15" customHeight="1" x14ac:dyDescent="0.2">
      <c r="A5" s="15" t="s">
        <v>392</v>
      </c>
      <c r="B5" s="107">
        <v>21710</v>
      </c>
      <c r="C5" s="107">
        <v>23818</v>
      </c>
      <c r="D5" s="107">
        <f>C5*(1+'Operating Drivers'!E23)</f>
        <v>24365.813999999998</v>
      </c>
      <c r="E5" s="107">
        <f>D5*(1+((D5/C5-1)*75%+'Operating Drivers'!$B$17*25%))</f>
        <v>24968.867896499993</v>
      </c>
      <c r="F5" s="107">
        <f>E5*(1+((E5/D5-1)*67%+'Operating Drivers'!$B$17*33%))</f>
        <v>25630.105940569054</v>
      </c>
      <c r="G5" s="107">
        <f>F5*(1+((F5/E5-1)*50%+'Operating Drivers'!$B$17*50%))</f>
        <v>26353.932169963151</v>
      </c>
      <c r="H5" s="107">
        <f>G5*(1+'Operating Drivers'!$B$17)</f>
        <v>27144.550135062047</v>
      </c>
    </row>
    <row r="6" spans="1:8" ht="15" customHeight="1" x14ac:dyDescent="0.2">
      <c r="A6" s="15" t="s">
        <v>393</v>
      </c>
      <c r="B6" s="107">
        <v>22059</v>
      </c>
      <c r="C6" s="107">
        <v>23077</v>
      </c>
      <c r="D6" s="107">
        <f>C6*(1+'Operating Drivers'!E24)</f>
        <v>23492.385999999999</v>
      </c>
      <c r="E6" s="107">
        <f>D6*(1+((D6/C6-1)*75%+'Operating Drivers'!$B$17*25%))</f>
        <v>23985.726105999995</v>
      </c>
      <c r="F6" s="107">
        <f>E6*(1+((E6/D6-1)*67%+'Operating Drivers'!$B$17*33%))</f>
        <v>24560.663960760816</v>
      </c>
      <c r="G6" s="107">
        <f>F6*(1+((F6/E6-1)*50%+'Operating Drivers'!$B$17*50%))</f>
        <v>25223.433477741946</v>
      </c>
      <c r="H6" s="107">
        <f>G6*(1+'Operating Drivers'!$B$17)</f>
        <v>25980.136482074206</v>
      </c>
    </row>
    <row r="7" spans="1:8" ht="15" customHeight="1" x14ac:dyDescent="0.2">
      <c r="A7" s="15" t="s">
        <v>394</v>
      </c>
      <c r="B7" s="107">
        <v>19108</v>
      </c>
      <c r="C7" s="107">
        <v>21765</v>
      </c>
      <c r="D7" s="107">
        <f>C7*(1+'Operating Drivers'!E25)</f>
        <v>22091.474999999999</v>
      </c>
      <c r="E7" s="107">
        <f>D7*(1+((D7/C7-1)*75%+'Operating Drivers'!$B$17*25%))</f>
        <v>22505.690156249995</v>
      </c>
      <c r="F7" s="107">
        <f>E7*(1+((E7/D7-1)*67%+'Operating Drivers'!$B$17*33%))</f>
        <v>23011.224221384757</v>
      </c>
      <c r="G7" s="107">
        <f>F7*(1+((F7/E7-1)*50%+'Operating Drivers'!$B$17*50%))</f>
        <v>23614.837396741954</v>
      </c>
      <c r="H7" s="107">
        <f>G7*(1+'Operating Drivers'!$B$17)</f>
        <v>24323.282518644213</v>
      </c>
    </row>
    <row r="8" spans="1:8" ht="15" customHeight="1" x14ac:dyDescent="0.2">
      <c r="A8" s="15" t="s">
        <v>395</v>
      </c>
      <c r="B8" s="107">
        <v>13090</v>
      </c>
      <c r="C8" s="107">
        <v>13928</v>
      </c>
      <c r="D8" s="107">
        <f>C8*(1+'Operating Drivers'!E26)</f>
        <v>14485.12</v>
      </c>
      <c r="E8" s="107">
        <f>D8*(1+((D8/C8-1)*75%+'Operating Drivers'!$B$17*25%))</f>
        <v>15028.312000000002</v>
      </c>
      <c r="F8" s="107">
        <f>E8*(1+((E8/D8-1)*67%+'Operating Drivers'!$B$17*33%))</f>
        <v>15554.678627800004</v>
      </c>
      <c r="G8" s="107">
        <f>F8*(1+((F8/E8-1)*50%+'Operating Drivers'!$B$17*50%))</f>
        <v>16060.400116686351</v>
      </c>
      <c r="H8" s="107">
        <f>G8*(1+'Operating Drivers'!$B$17)</f>
        <v>16542.212120186941</v>
      </c>
    </row>
    <row r="9" spans="1:8" ht="15" customHeight="1" x14ac:dyDescent="0.2">
      <c r="A9" s="15" t="s">
        <v>396</v>
      </c>
      <c r="B9" s="107">
        <v>11831</v>
      </c>
      <c r="C9" s="107">
        <v>12267</v>
      </c>
      <c r="D9" s="107">
        <f>C9*(1+'Operating Drivers'!E27)</f>
        <v>12573.674999999999</v>
      </c>
      <c r="E9" s="107">
        <f>D9*(1+((D9/C9-1)*75%+'Operating Drivers'!$B$17*25%))</f>
        <v>12903.733968749997</v>
      </c>
      <c r="F9" s="107">
        <f>E9*(1+((E9/D9-1)*67%+'Operating Drivers'!$B$17*33%))</f>
        <v>13258.425356216012</v>
      </c>
      <c r="G9" s="107">
        <f>F9*(1+((F9/E9-1)*50%+'Operating Drivers'!$B$17*50%))</f>
        <v>13639.522220048744</v>
      </c>
      <c r="H9" s="107">
        <f>G9*(1+'Operating Drivers'!$B$17)</f>
        <v>14048.707886650207</v>
      </c>
    </row>
    <row r="10" spans="1:8" ht="15" customHeight="1" x14ac:dyDescent="0.2">
      <c r="A10" s="15" t="s">
        <v>504</v>
      </c>
      <c r="B10" s="107">
        <v>4810</v>
      </c>
      <c r="C10" s="107">
        <v>4809</v>
      </c>
      <c r="D10" s="107">
        <f>C10*(1+'Operating Drivers'!E28)</f>
        <v>4881.1349999999993</v>
      </c>
      <c r="E10" s="107">
        <f>D10*(1+((D10/C10-1)*75%+'Operating Drivers'!$B$17*25%))</f>
        <v>4972.6562812499988</v>
      </c>
      <c r="F10" s="107">
        <f>E10*(1+((E10/D10-1)*67%+'Operating Drivers'!$B$17*33%))</f>
        <v>5084.3545729675761</v>
      </c>
      <c r="G10" s="107">
        <f>F10*(1+((F10/E10-1)*50%+'Operating Drivers'!$B$17*50%))</f>
        <v>5217.7235488597316</v>
      </c>
      <c r="H10" s="107">
        <f>G10*(1+'Operating Drivers'!$B$17)</f>
        <v>5374.2552553255236</v>
      </c>
    </row>
    <row r="11" spans="1:8" ht="15" customHeight="1" x14ac:dyDescent="0.2">
      <c r="A11" s="15" t="s">
        <v>505</v>
      </c>
      <c r="B11" s="107">
        <f t="shared" ref="B11:H11" si="0">SUM(B3:B10)</f>
        <v>162990</v>
      </c>
      <c r="C11" s="107">
        <f t="shared" si="0"/>
        <v>178650</v>
      </c>
      <c r="D11" s="107">
        <f t="shared" si="0"/>
        <v>183041.21899999998</v>
      </c>
      <c r="E11" s="107">
        <f t="shared" si="0"/>
        <v>187795.96442524996</v>
      </c>
      <c r="F11" s="107">
        <f t="shared" si="0"/>
        <v>192927.49368067176</v>
      </c>
      <c r="G11" s="107">
        <f t="shared" si="0"/>
        <v>198458.6318552969</v>
      </c>
      <c r="H11" s="107">
        <f t="shared" si="0"/>
        <v>204412.39081095581</v>
      </c>
    </row>
    <row r="12" spans="1:8" ht="15" customHeight="1" x14ac:dyDescent="0.2">
      <c r="A12" s="15" t="s">
        <v>506</v>
      </c>
      <c r="B12" s="15"/>
      <c r="C12" s="20">
        <f t="shared" ref="C12:H12" si="1">C11/B11-1</f>
        <v>9.6079514080618544E-2</v>
      </c>
      <c r="D12" s="20">
        <f t="shared" si="1"/>
        <v>2.4580011195074025E-2</v>
      </c>
      <c r="E12" s="20">
        <f t="shared" si="1"/>
        <v>2.5976364510826189E-2</v>
      </c>
      <c r="F12" s="20">
        <f t="shared" si="1"/>
        <v>2.7325024108621587E-2</v>
      </c>
      <c r="G12" s="20">
        <f t="shared" si="1"/>
        <v>2.8669517594937188E-2</v>
      </c>
      <c r="H12" s="20">
        <f t="shared" si="1"/>
        <v>3.0000000000000027E-2</v>
      </c>
    </row>
    <row r="13" spans="1:8" ht="15" customHeight="1" x14ac:dyDescent="0.2">
      <c r="A13" s="15"/>
      <c r="B13" s="15"/>
      <c r="C13" s="15"/>
      <c r="D13" s="15"/>
      <c r="E13" s="15"/>
      <c r="F13" s="15"/>
      <c r="G13" s="15"/>
      <c r="H13" s="15"/>
    </row>
    <row r="14" spans="1:8" ht="15" customHeight="1" x14ac:dyDescent="0.2">
      <c r="A14" s="15" t="s">
        <v>507</v>
      </c>
      <c r="B14" s="15"/>
      <c r="C14" s="15"/>
      <c r="D14" s="107">
        <f>Forecasting!R5</f>
        <v>183041.21899999998</v>
      </c>
      <c r="E14" s="107">
        <f>Forecasting!S5</f>
        <v>187795.96442524996</v>
      </c>
      <c r="F14" s="107">
        <f>Forecasting!T5</f>
        <v>192927.49368067176</v>
      </c>
      <c r="G14" s="107">
        <f>Forecasting!U5</f>
        <v>198458.6318552969</v>
      </c>
      <c r="H14" s="107">
        <f>Forecasting!V5</f>
        <v>204412.39081095581</v>
      </c>
    </row>
    <row r="15" spans="1:8" ht="15" customHeight="1" x14ac:dyDescent="0.2">
      <c r="A15" s="15" t="s">
        <v>508</v>
      </c>
      <c r="B15" s="15"/>
      <c r="C15" s="15"/>
      <c r="D15" s="15">
        <f>D11-D14</f>
        <v>0</v>
      </c>
      <c r="E15" s="15">
        <f>E11-E14</f>
        <v>0</v>
      </c>
      <c r="F15" s="15">
        <f>F11-F14</f>
        <v>0</v>
      </c>
      <c r="G15" s="15">
        <f>G11-G14</f>
        <v>0</v>
      </c>
      <c r="H15" s="15">
        <f>H11-H14</f>
        <v>0</v>
      </c>
    </row>
    <row r="16" spans="1:8" ht="15" customHeight="1" x14ac:dyDescent="0.2">
      <c r="A16" s="15"/>
      <c r="B16" s="15"/>
      <c r="C16" s="15"/>
      <c r="D16" s="15"/>
      <c r="E16" s="15"/>
      <c r="F16" s="15"/>
      <c r="G16" s="15"/>
      <c r="H16" s="15"/>
    </row>
    <row r="17" spans="1:8" ht="41.25" customHeight="1" x14ac:dyDescent="0.2">
      <c r="A17" s="15" t="s">
        <v>509</v>
      </c>
      <c r="B17" s="11" t="s">
        <v>510</v>
      </c>
      <c r="C17" s="11"/>
      <c r="D17" s="11"/>
      <c r="E17" s="11"/>
      <c r="F17" s="11"/>
      <c r="G17" s="11"/>
      <c r="H17" s="11"/>
    </row>
    <row r="18" spans="1:8" ht="15" customHeight="1" x14ac:dyDescent="0.2">
      <c r="A18" s="15"/>
      <c r="B18" s="15"/>
      <c r="C18" s="15"/>
      <c r="D18" s="15"/>
      <c r="E18" s="15"/>
      <c r="F18" s="15"/>
      <c r="G18" s="15"/>
      <c r="H18" s="15"/>
    </row>
    <row r="19" spans="1:8" ht="15" customHeight="1" x14ac:dyDescent="0.2">
      <c r="A19" s="15"/>
      <c r="B19" s="15"/>
      <c r="C19" s="15"/>
      <c r="D19" s="15"/>
      <c r="E19" s="15"/>
      <c r="F19" s="15"/>
      <c r="G19" s="15"/>
      <c r="H19" s="15"/>
    </row>
    <row r="20" spans="1:8" ht="15" customHeight="1" x14ac:dyDescent="0.2">
      <c r="A20" s="15"/>
      <c r="B20" s="15"/>
      <c r="C20" s="15"/>
      <c r="D20" s="15"/>
      <c r="E20" s="15"/>
      <c r="F20" s="15"/>
      <c r="G20" s="15"/>
      <c r="H20" s="15"/>
    </row>
  </sheetData>
  <mergeCells count="1">
    <mergeCell ref="B17:H17"/>
  </mergeCells>
  <pageMargins left="0.75" right="0.75" top="1" bottom="1" header="0.511811023622047" footer="0.511811023622047"/>
  <pageSetup paperSize="9" orientation="portrait" horizontalDpi="300" verticalDpi="300"/>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548235"/>
  </sheetPr>
  <dimension ref="A1:G33"/>
  <sheetViews>
    <sheetView zoomScaleNormal="100" workbookViewId="0">
      <pane xSplit="1" ySplit="2" topLeftCell="E3" activePane="bottomRight" state="frozen"/>
      <selection pane="topRight" activeCell="B1" sqref="B1"/>
      <selection pane="bottomLeft" activeCell="A3" sqref="A3"/>
      <selection pane="bottomRight" activeCell="D3" sqref="D3"/>
    </sheetView>
  </sheetViews>
  <sheetFormatPr baseColWidth="10" defaultColWidth="8.6640625" defaultRowHeight="15" x14ac:dyDescent="0.2"/>
  <cols>
    <col min="1" max="1" width="40" customWidth="1"/>
    <col min="2" max="7" width="22" customWidth="1"/>
  </cols>
  <sheetData>
    <row r="1" spans="1:7" ht="33.75" customHeight="1" x14ac:dyDescent="0.2">
      <c r="A1" s="13" t="s">
        <v>511</v>
      </c>
      <c r="B1" s="13"/>
      <c r="C1" s="13"/>
      <c r="D1" s="13"/>
      <c r="E1" s="13"/>
      <c r="F1" s="13"/>
      <c r="G1" s="13"/>
    </row>
    <row r="2" spans="1:7" ht="15" customHeight="1" x14ac:dyDescent="0.2">
      <c r="A2" s="14" t="s">
        <v>501</v>
      </c>
      <c r="B2" s="14" t="s">
        <v>503</v>
      </c>
      <c r="C2" s="14" t="s">
        <v>128</v>
      </c>
      <c r="D2" s="14" t="s">
        <v>129</v>
      </c>
      <c r="E2" s="14" t="s">
        <v>130</v>
      </c>
      <c r="F2" s="14" t="s">
        <v>131</v>
      </c>
      <c r="G2" s="14" t="s">
        <v>132</v>
      </c>
    </row>
    <row r="3" spans="1:7" ht="15" customHeight="1" x14ac:dyDescent="0.2">
      <c r="A3" s="15" t="s">
        <v>390</v>
      </c>
      <c r="B3" s="134">
        <f>'Segment Forecast'!C3</f>
        <v>49908</v>
      </c>
      <c r="C3" s="134">
        <f>'Segment Forecast'!D3</f>
        <v>51055.883999999998</v>
      </c>
      <c r="D3" s="134">
        <f>'Segment Forecast'!E3</f>
        <v>52319.517128999993</v>
      </c>
      <c r="E3" s="134">
        <f>'Segment Forecast'!F3</f>
        <v>53705.068741368734</v>
      </c>
      <c r="F3" s="134">
        <f>'Segment Forecast'!G3</f>
        <v>55221.767013960911</v>
      </c>
      <c r="G3" s="134">
        <f>'Segment Forecast'!H3</f>
        <v>56878.420024379739</v>
      </c>
    </row>
    <row r="4" spans="1:7" ht="15" customHeight="1" x14ac:dyDescent="0.2">
      <c r="A4" s="15" t="s">
        <v>391</v>
      </c>
      <c r="B4" s="134">
        <f>'Segment Forecast'!C4</f>
        <v>29078</v>
      </c>
      <c r="C4" s="134">
        <f>'Segment Forecast'!D4</f>
        <v>30095.729999999996</v>
      </c>
      <c r="D4" s="134">
        <f>'Segment Forecast'!E4</f>
        <v>31111.460887499994</v>
      </c>
      <c r="E4" s="134">
        <f>'Segment Forecast'!F4</f>
        <v>32122.972259604834</v>
      </c>
      <c r="F4" s="134">
        <f>'Segment Forecast'!G4</f>
        <v>33127.015911294104</v>
      </c>
      <c r="G4" s="134">
        <f>'Segment Forecast'!H4</f>
        <v>34120.82638863293</v>
      </c>
    </row>
    <row r="5" spans="1:7" ht="15" customHeight="1" x14ac:dyDescent="0.2">
      <c r="A5" s="15" t="s">
        <v>392</v>
      </c>
      <c r="B5" s="134">
        <f>'Segment Forecast'!C5</f>
        <v>23818</v>
      </c>
      <c r="C5" s="134">
        <f>'Segment Forecast'!D5</f>
        <v>24365.813999999998</v>
      </c>
      <c r="D5" s="134">
        <f>'Segment Forecast'!E5</f>
        <v>24968.867896499993</v>
      </c>
      <c r="E5" s="134">
        <f>'Segment Forecast'!F5</f>
        <v>25630.105940569054</v>
      </c>
      <c r="F5" s="134">
        <f>'Segment Forecast'!G5</f>
        <v>26353.932169963151</v>
      </c>
      <c r="G5" s="134">
        <f>'Segment Forecast'!H5</f>
        <v>27144.550135062047</v>
      </c>
    </row>
    <row r="6" spans="1:7" ht="15" customHeight="1" x14ac:dyDescent="0.2">
      <c r="A6" s="15" t="s">
        <v>393</v>
      </c>
      <c r="B6" s="134">
        <f>'Segment Forecast'!C6</f>
        <v>23077</v>
      </c>
      <c r="C6" s="134">
        <f>'Segment Forecast'!D6</f>
        <v>23492.385999999999</v>
      </c>
      <c r="D6" s="134">
        <f>'Segment Forecast'!E6</f>
        <v>23985.726105999995</v>
      </c>
      <c r="E6" s="134">
        <f>'Segment Forecast'!F6</f>
        <v>24560.663960760816</v>
      </c>
      <c r="F6" s="134">
        <f>'Segment Forecast'!G6</f>
        <v>25223.433477741946</v>
      </c>
      <c r="G6" s="134">
        <f>'Segment Forecast'!H6</f>
        <v>25980.136482074206</v>
      </c>
    </row>
    <row r="7" spans="1:7" ht="15" customHeight="1" x14ac:dyDescent="0.2">
      <c r="A7" s="15" t="s">
        <v>394</v>
      </c>
      <c r="B7" s="134">
        <f>'Segment Forecast'!C7</f>
        <v>21765</v>
      </c>
      <c r="C7" s="134">
        <f>'Segment Forecast'!D7</f>
        <v>22091.474999999999</v>
      </c>
      <c r="D7" s="134">
        <f>'Segment Forecast'!E7</f>
        <v>22505.690156249995</v>
      </c>
      <c r="E7" s="134">
        <f>'Segment Forecast'!F7</f>
        <v>23011.224221384757</v>
      </c>
      <c r="F7" s="134">
        <f>'Segment Forecast'!G7</f>
        <v>23614.837396741954</v>
      </c>
      <c r="G7" s="134">
        <f>'Segment Forecast'!H7</f>
        <v>24323.282518644213</v>
      </c>
    </row>
    <row r="8" spans="1:7" ht="15" customHeight="1" x14ac:dyDescent="0.2">
      <c r="A8" s="15" t="s">
        <v>395</v>
      </c>
      <c r="B8" s="134">
        <f>'Segment Forecast'!C8</f>
        <v>13928</v>
      </c>
      <c r="C8" s="134">
        <f>'Segment Forecast'!D8</f>
        <v>14485.12</v>
      </c>
      <c r="D8" s="134">
        <f>'Segment Forecast'!E8</f>
        <v>15028.312000000002</v>
      </c>
      <c r="E8" s="134">
        <f>'Segment Forecast'!F8</f>
        <v>15554.678627800004</v>
      </c>
      <c r="F8" s="134">
        <f>'Segment Forecast'!G8</f>
        <v>16060.400116686351</v>
      </c>
      <c r="G8" s="134">
        <f>'Segment Forecast'!H8</f>
        <v>16542.212120186941</v>
      </c>
    </row>
    <row r="9" spans="1:7" ht="15" customHeight="1" x14ac:dyDescent="0.2">
      <c r="A9" s="15" t="s">
        <v>396</v>
      </c>
      <c r="B9" s="134">
        <f>'Segment Forecast'!C9</f>
        <v>12267</v>
      </c>
      <c r="C9" s="134">
        <f>'Segment Forecast'!D9</f>
        <v>12573.674999999999</v>
      </c>
      <c r="D9" s="134">
        <f>'Segment Forecast'!E9</f>
        <v>12903.733968749997</v>
      </c>
      <c r="E9" s="134">
        <f>'Segment Forecast'!F9</f>
        <v>13258.425356216012</v>
      </c>
      <c r="F9" s="134">
        <f>'Segment Forecast'!G9</f>
        <v>13639.522220048744</v>
      </c>
      <c r="G9" s="134">
        <f>'Segment Forecast'!H9</f>
        <v>14048.707886650207</v>
      </c>
    </row>
    <row r="10" spans="1:7" ht="15" customHeight="1" x14ac:dyDescent="0.2">
      <c r="A10" s="15" t="s">
        <v>512</v>
      </c>
      <c r="B10" s="134">
        <f>'Segment Forecast'!C10</f>
        <v>4809</v>
      </c>
      <c r="C10" s="134">
        <f>'Segment Forecast'!D10</f>
        <v>4881.1349999999993</v>
      </c>
      <c r="D10" s="134">
        <f>'Segment Forecast'!E10</f>
        <v>4972.6562812499988</v>
      </c>
      <c r="E10" s="134">
        <f>'Segment Forecast'!F10</f>
        <v>5084.3545729675761</v>
      </c>
      <c r="F10" s="134">
        <f>'Segment Forecast'!G10</f>
        <v>5217.7235488597316</v>
      </c>
      <c r="G10" s="134">
        <f>'Segment Forecast'!H10</f>
        <v>5374.2552553255236</v>
      </c>
    </row>
    <row r="11" spans="1:7" ht="15" customHeight="1" x14ac:dyDescent="0.2">
      <c r="A11" s="15"/>
      <c r="B11" s="134"/>
      <c r="C11" s="134"/>
      <c r="D11" s="134"/>
      <c r="E11" s="134"/>
      <c r="F11" s="134"/>
      <c r="G11" s="134"/>
    </row>
    <row r="12" spans="1:7" ht="15" customHeight="1" x14ac:dyDescent="0.2">
      <c r="A12" s="15"/>
      <c r="B12" s="134"/>
      <c r="C12" s="134"/>
      <c r="D12" s="134"/>
      <c r="E12" s="134"/>
      <c r="F12" s="134"/>
      <c r="G12" s="134"/>
    </row>
    <row r="13" spans="1:7" ht="15" customHeight="1" x14ac:dyDescent="0.2">
      <c r="A13" s="15" t="s">
        <v>513</v>
      </c>
      <c r="B13" s="134">
        <v>0.253</v>
      </c>
      <c r="C13" s="134">
        <v>0.253</v>
      </c>
      <c r="D13" s="134">
        <v>0.254</v>
      </c>
      <c r="E13" s="134">
        <v>0.255</v>
      </c>
      <c r="F13" s="134">
        <v>0.255</v>
      </c>
      <c r="G13" s="134">
        <v>0.255</v>
      </c>
    </row>
    <row r="14" spans="1:7" ht="15" customHeight="1" x14ac:dyDescent="0.2">
      <c r="A14" s="15" t="s">
        <v>514</v>
      </c>
      <c r="B14" s="134">
        <v>0.221</v>
      </c>
      <c r="C14" s="134">
        <v>0.222</v>
      </c>
      <c r="D14" s="134">
        <v>0.223</v>
      </c>
      <c r="E14" s="134">
        <v>0.224</v>
      </c>
      <c r="F14" s="134">
        <v>0.22500000000000001</v>
      </c>
      <c r="G14" s="134">
        <v>0.22500000000000001</v>
      </c>
    </row>
    <row r="15" spans="1:7" ht="15" customHeight="1" x14ac:dyDescent="0.2">
      <c r="A15" s="15" t="s">
        <v>515</v>
      </c>
      <c r="B15" s="134">
        <v>0.251</v>
      </c>
      <c r="C15" s="134">
        <v>0.25</v>
      </c>
      <c r="D15" s="134">
        <v>0.25</v>
      </c>
      <c r="E15" s="134">
        <v>0.251</v>
      </c>
      <c r="F15" s="134">
        <v>0.252</v>
      </c>
      <c r="G15" s="134">
        <v>0.252</v>
      </c>
    </row>
    <row r="16" spans="1:7" ht="15" customHeight="1" x14ac:dyDescent="0.2">
      <c r="A16" s="15" t="s">
        <v>516</v>
      </c>
      <c r="B16" s="134">
        <v>0.307</v>
      </c>
      <c r="C16" s="134">
        <v>0.30499999999999999</v>
      </c>
      <c r="D16" s="134">
        <v>0.30499999999999999</v>
      </c>
      <c r="E16" s="134">
        <v>0.30599999999999999</v>
      </c>
      <c r="F16" s="134">
        <v>0.30599999999999999</v>
      </c>
      <c r="G16" s="134">
        <v>0.30599999999999999</v>
      </c>
    </row>
    <row r="17" spans="1:7" ht="15" customHeight="1" x14ac:dyDescent="0.2">
      <c r="A17" s="15" t="s">
        <v>517</v>
      </c>
      <c r="B17" s="134">
        <v>0.17699999999999999</v>
      </c>
      <c r="C17" s="134">
        <v>0.17799999999999999</v>
      </c>
      <c r="D17" s="134">
        <v>0.17899999999999999</v>
      </c>
      <c r="E17" s="134">
        <v>0.18</v>
      </c>
      <c r="F17" s="134">
        <v>0.18099999999999999</v>
      </c>
      <c r="G17" s="134">
        <v>0.182</v>
      </c>
    </row>
    <row r="18" spans="1:7" ht="15" customHeight="1" x14ac:dyDescent="0.2">
      <c r="A18" s="15" t="s">
        <v>518</v>
      </c>
      <c r="B18" s="134">
        <v>0.23100000000000001</v>
      </c>
      <c r="C18" s="134">
        <v>0.23200000000000001</v>
      </c>
      <c r="D18" s="134">
        <v>0.23300000000000001</v>
      </c>
      <c r="E18" s="134">
        <v>0.23400000000000001</v>
      </c>
      <c r="F18" s="134">
        <v>0.23499999999999999</v>
      </c>
      <c r="G18" s="134">
        <v>0.23499999999999999</v>
      </c>
    </row>
    <row r="19" spans="1:7" ht="15" customHeight="1" x14ac:dyDescent="0.2">
      <c r="A19" s="15" t="s">
        <v>519</v>
      </c>
      <c r="B19" s="134">
        <v>0.2</v>
      </c>
      <c r="C19" s="134">
        <v>0.20100000000000001</v>
      </c>
      <c r="D19" s="134">
        <v>0.20200000000000001</v>
      </c>
      <c r="E19" s="134">
        <v>0.20300000000000001</v>
      </c>
      <c r="F19" s="134">
        <v>0.20399999999999999</v>
      </c>
      <c r="G19" s="134">
        <v>0.20399999999999999</v>
      </c>
    </row>
    <row r="20" spans="1:7" ht="15" customHeight="1" x14ac:dyDescent="0.2">
      <c r="A20" s="15" t="s">
        <v>520</v>
      </c>
      <c r="B20" s="134">
        <v>0.14799999999999999</v>
      </c>
      <c r="C20" s="134">
        <v>0.15</v>
      </c>
      <c r="D20" s="134">
        <v>0.152</v>
      </c>
      <c r="E20" s="134">
        <v>0.154</v>
      </c>
      <c r="F20" s="134">
        <v>0.156</v>
      </c>
      <c r="G20" s="134">
        <v>0.158</v>
      </c>
    </row>
    <row r="21" spans="1:7" ht="15" customHeight="1" x14ac:dyDescent="0.2">
      <c r="A21" s="15"/>
      <c r="B21" s="134"/>
      <c r="C21" s="134"/>
      <c r="D21" s="134"/>
      <c r="E21" s="134"/>
      <c r="F21" s="134"/>
      <c r="G21" s="134"/>
    </row>
    <row r="22" spans="1:7" ht="15" customHeight="1" x14ac:dyDescent="0.2">
      <c r="A22" s="19" t="s">
        <v>521</v>
      </c>
      <c r="B22" s="134"/>
      <c r="C22" s="134"/>
      <c r="D22" s="134"/>
      <c r="E22" s="134"/>
      <c r="F22" s="134"/>
      <c r="G22" s="134"/>
    </row>
    <row r="23" spans="1:7" ht="15" customHeight="1" x14ac:dyDescent="0.2">
      <c r="A23" s="15" t="s">
        <v>390</v>
      </c>
      <c r="B23" s="134">
        <v>12678</v>
      </c>
      <c r="C23" s="134">
        <f t="shared" ref="C23:G30" si="0">C3*C13</f>
        <v>12917.138652</v>
      </c>
      <c r="D23" s="134">
        <f t="shared" si="0"/>
        <v>13289.157350765998</v>
      </c>
      <c r="E23" s="134">
        <f t="shared" si="0"/>
        <v>13694.792529049028</v>
      </c>
      <c r="F23" s="134">
        <f t="shared" si="0"/>
        <v>14081.550588560032</v>
      </c>
      <c r="G23" s="134">
        <f t="shared" si="0"/>
        <v>14503.997106216833</v>
      </c>
    </row>
    <row r="24" spans="1:7" ht="15" customHeight="1" x14ac:dyDescent="0.2">
      <c r="A24" s="15" t="s">
        <v>391</v>
      </c>
      <c r="B24" s="134">
        <v>6444</v>
      </c>
      <c r="C24" s="134">
        <f t="shared" si="0"/>
        <v>6681.2520599999989</v>
      </c>
      <c r="D24" s="134">
        <f t="shared" si="0"/>
        <v>6937.8557779124985</v>
      </c>
      <c r="E24" s="134">
        <f t="shared" si="0"/>
        <v>7195.5457861514833</v>
      </c>
      <c r="F24" s="134">
        <f t="shared" si="0"/>
        <v>7453.5785800411732</v>
      </c>
      <c r="G24" s="134">
        <f t="shared" si="0"/>
        <v>7677.1859374424093</v>
      </c>
    </row>
    <row r="25" spans="1:7" ht="15" customHeight="1" x14ac:dyDescent="0.2">
      <c r="A25" s="15" t="s">
        <v>392</v>
      </c>
      <c r="B25" s="134">
        <v>5984</v>
      </c>
      <c r="C25" s="134">
        <f t="shared" si="0"/>
        <v>6091.4534999999996</v>
      </c>
      <c r="D25" s="134">
        <f t="shared" si="0"/>
        <v>6242.2169741249982</v>
      </c>
      <c r="E25" s="134">
        <f t="shared" si="0"/>
        <v>6433.1565910828322</v>
      </c>
      <c r="F25" s="134">
        <f t="shared" si="0"/>
        <v>6641.1909068307141</v>
      </c>
      <c r="G25" s="134">
        <f t="shared" si="0"/>
        <v>6840.4266340356362</v>
      </c>
    </row>
    <row r="26" spans="1:7" ht="15" customHeight="1" x14ac:dyDescent="0.2">
      <c r="A26" s="15" t="s">
        <v>393</v>
      </c>
      <c r="B26" s="134">
        <v>7089</v>
      </c>
      <c r="C26" s="134">
        <f t="shared" si="0"/>
        <v>7165.1777299999994</v>
      </c>
      <c r="D26" s="134">
        <f t="shared" si="0"/>
        <v>7315.646462329998</v>
      </c>
      <c r="E26" s="134">
        <f t="shared" si="0"/>
        <v>7515.5631719928097</v>
      </c>
      <c r="F26" s="134">
        <f t="shared" si="0"/>
        <v>7718.3706441890354</v>
      </c>
      <c r="G26" s="134">
        <f t="shared" si="0"/>
        <v>7949.921763514707</v>
      </c>
    </row>
    <row r="27" spans="1:7" ht="15" customHeight="1" x14ac:dyDescent="0.2">
      <c r="A27" s="15" t="s">
        <v>394</v>
      </c>
      <c r="B27" s="134">
        <v>3861</v>
      </c>
      <c r="C27" s="134">
        <f t="shared" si="0"/>
        <v>3932.2825499999994</v>
      </c>
      <c r="D27" s="134">
        <f t="shared" si="0"/>
        <v>4028.5185379687491</v>
      </c>
      <c r="E27" s="134">
        <f t="shared" si="0"/>
        <v>4142.0203598492562</v>
      </c>
      <c r="F27" s="134">
        <f t="shared" si="0"/>
        <v>4274.2855688102936</v>
      </c>
      <c r="G27" s="134">
        <f t="shared" si="0"/>
        <v>4426.8374183932465</v>
      </c>
    </row>
    <row r="28" spans="1:7" ht="15" customHeight="1" x14ac:dyDescent="0.2">
      <c r="A28" s="15" t="s">
        <v>395</v>
      </c>
      <c r="B28" s="134">
        <v>3228</v>
      </c>
      <c r="C28" s="134">
        <f t="shared" si="0"/>
        <v>3360.5478400000002</v>
      </c>
      <c r="D28" s="134">
        <f t="shared" si="0"/>
        <v>3501.5966960000005</v>
      </c>
      <c r="E28" s="134">
        <f t="shared" si="0"/>
        <v>3639.7947989052009</v>
      </c>
      <c r="F28" s="134">
        <f t="shared" si="0"/>
        <v>3774.194027421292</v>
      </c>
      <c r="G28" s="134">
        <f t="shared" si="0"/>
        <v>3887.419848243931</v>
      </c>
    </row>
    <row r="29" spans="1:7" ht="15" customHeight="1" x14ac:dyDescent="0.2">
      <c r="A29" s="15" t="s">
        <v>396</v>
      </c>
      <c r="B29" s="134">
        <v>2444</v>
      </c>
      <c r="C29" s="134">
        <f t="shared" si="0"/>
        <v>2527.3086750000002</v>
      </c>
      <c r="D29" s="134">
        <f t="shared" si="0"/>
        <v>2606.5542616874995</v>
      </c>
      <c r="E29" s="134">
        <f t="shared" si="0"/>
        <v>2691.4603473118505</v>
      </c>
      <c r="F29" s="134">
        <f t="shared" si="0"/>
        <v>2782.4625328899438</v>
      </c>
      <c r="G29" s="134">
        <f t="shared" si="0"/>
        <v>2865.936408876642</v>
      </c>
    </row>
    <row r="30" spans="1:7" ht="15" customHeight="1" x14ac:dyDescent="0.2">
      <c r="A30" s="15" t="s">
        <v>512</v>
      </c>
      <c r="B30" s="134">
        <v>717</v>
      </c>
      <c r="C30" s="134">
        <f t="shared" si="0"/>
        <v>732.1702499999999</v>
      </c>
      <c r="D30" s="134">
        <f t="shared" si="0"/>
        <v>755.84375474999979</v>
      </c>
      <c r="E30" s="134">
        <f t="shared" si="0"/>
        <v>782.99060423700666</v>
      </c>
      <c r="F30" s="134">
        <f t="shared" si="0"/>
        <v>813.96487362211815</v>
      </c>
      <c r="G30" s="134">
        <f t="shared" si="0"/>
        <v>849.13233034143275</v>
      </c>
    </row>
    <row r="31" spans="1:7" ht="15" customHeight="1" x14ac:dyDescent="0.2">
      <c r="A31" s="15" t="s">
        <v>522</v>
      </c>
      <c r="B31" s="134">
        <f t="shared" ref="B31:G31" si="1">SUM(B3:B10)</f>
        <v>178650</v>
      </c>
      <c r="C31" s="134">
        <f t="shared" si="1"/>
        <v>183041.21899999998</v>
      </c>
      <c r="D31" s="134">
        <f t="shared" si="1"/>
        <v>187795.96442524996</v>
      </c>
      <c r="E31" s="134">
        <f t="shared" si="1"/>
        <v>192927.49368067176</v>
      </c>
      <c r="F31" s="134">
        <f t="shared" si="1"/>
        <v>198458.6318552969</v>
      </c>
      <c r="G31" s="134">
        <f t="shared" si="1"/>
        <v>204412.39081095581</v>
      </c>
    </row>
    <row r="32" spans="1:7" ht="15" customHeight="1" x14ac:dyDescent="0.2">
      <c r="A32" s="15" t="s">
        <v>523</v>
      </c>
      <c r="B32" s="134">
        <f t="shared" ref="B32:G32" si="2">SUM(B23:B30)</f>
        <v>42445</v>
      </c>
      <c r="C32" s="134">
        <f t="shared" si="2"/>
        <v>43407.331256999998</v>
      </c>
      <c r="D32" s="134">
        <f t="shared" si="2"/>
        <v>44677.38981553974</v>
      </c>
      <c r="E32" s="134">
        <f t="shared" si="2"/>
        <v>46095.324188579463</v>
      </c>
      <c r="F32" s="134">
        <f t="shared" si="2"/>
        <v>47539.597722364597</v>
      </c>
      <c r="G32" s="134">
        <f t="shared" si="2"/>
        <v>49000.857447064845</v>
      </c>
    </row>
    <row r="33" spans="1:7" ht="15" customHeight="1" x14ac:dyDescent="0.2">
      <c r="A33" s="15" t="s">
        <v>524</v>
      </c>
      <c r="B33" s="134">
        <f t="shared" ref="B33:G33" si="3">B32/B31</f>
        <v>0.23758746151693255</v>
      </c>
      <c r="C33" s="134">
        <f t="shared" si="3"/>
        <v>0.2371451167892408</v>
      </c>
      <c r="D33" s="134">
        <f t="shared" si="3"/>
        <v>0.23790388655195552</v>
      </c>
      <c r="E33" s="134">
        <f t="shared" si="3"/>
        <v>0.23892563630601643</v>
      </c>
      <c r="F33" s="134">
        <f t="shared" si="3"/>
        <v>0.23954411696754704</v>
      </c>
      <c r="G33" s="134">
        <f t="shared" si="3"/>
        <v>0.23971569068130369</v>
      </c>
    </row>
  </sheetData>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548235"/>
  </sheetPr>
  <dimension ref="A1:D11"/>
  <sheetViews>
    <sheetView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8.6640625" defaultRowHeight="15" x14ac:dyDescent="0.2"/>
  <cols>
    <col min="1" max="1" width="32" customWidth="1"/>
    <col min="2" max="7" width="18" customWidth="1"/>
  </cols>
  <sheetData>
    <row r="1" spans="1:4" ht="33.75" customHeight="1" x14ac:dyDescent="0.2">
      <c r="A1" s="13" t="s">
        <v>525</v>
      </c>
      <c r="B1" s="13"/>
      <c r="C1" s="13"/>
      <c r="D1" s="13"/>
    </row>
    <row r="2" spans="1:4" ht="27.75" customHeight="1" x14ac:dyDescent="0.2">
      <c r="A2" s="14" t="s">
        <v>526</v>
      </c>
      <c r="B2" s="14" t="s">
        <v>527</v>
      </c>
      <c r="C2" s="14" t="s">
        <v>528</v>
      </c>
      <c r="D2" s="14" t="s">
        <v>529</v>
      </c>
    </row>
    <row r="3" spans="1:4" ht="54.75" customHeight="1" x14ac:dyDescent="0.2">
      <c r="A3" s="15" t="s">
        <v>530</v>
      </c>
      <c r="B3" s="15" t="s">
        <v>531</v>
      </c>
      <c r="C3" s="15" t="s">
        <v>532</v>
      </c>
      <c r="D3" s="15" t="s">
        <v>533</v>
      </c>
    </row>
    <row r="4" spans="1:4" ht="54.75" customHeight="1" x14ac:dyDescent="0.2">
      <c r="A4" s="15" t="s">
        <v>534</v>
      </c>
      <c r="B4" s="15" t="s">
        <v>535</v>
      </c>
      <c r="C4" s="15" t="s">
        <v>536</v>
      </c>
      <c r="D4" s="15" t="s">
        <v>537</v>
      </c>
    </row>
    <row r="5" spans="1:4" ht="41.25" customHeight="1" x14ac:dyDescent="0.2">
      <c r="A5" s="15" t="s">
        <v>538</v>
      </c>
      <c r="B5" s="15" t="s">
        <v>539</v>
      </c>
      <c r="C5" s="15" t="s">
        <v>540</v>
      </c>
      <c r="D5" s="15" t="s">
        <v>541</v>
      </c>
    </row>
    <row r="6" spans="1:4" ht="41.25" customHeight="1" x14ac:dyDescent="0.2">
      <c r="A6" s="15" t="s">
        <v>542</v>
      </c>
      <c r="B6" s="15" t="s">
        <v>543</v>
      </c>
      <c r="C6" s="15" t="s">
        <v>544</v>
      </c>
      <c r="D6" s="15" t="s">
        <v>545</v>
      </c>
    </row>
    <row r="7" spans="1:4" ht="41.25" customHeight="1" x14ac:dyDescent="0.2">
      <c r="A7" s="15" t="s">
        <v>546</v>
      </c>
      <c r="B7" s="15" t="s">
        <v>547</v>
      </c>
      <c r="C7" s="15" t="s">
        <v>548</v>
      </c>
      <c r="D7" s="15" t="s">
        <v>549</v>
      </c>
    </row>
    <row r="8" spans="1:4" ht="41.25" customHeight="1" x14ac:dyDescent="0.2">
      <c r="A8" s="15" t="s">
        <v>550</v>
      </c>
      <c r="B8" s="15" t="s">
        <v>551</v>
      </c>
      <c r="C8" s="15" t="s">
        <v>552</v>
      </c>
      <c r="D8" s="15" t="s">
        <v>553</v>
      </c>
    </row>
    <row r="9" spans="1:4" ht="15" customHeight="1" x14ac:dyDescent="0.2">
      <c r="A9" s="15"/>
      <c r="B9" s="15"/>
      <c r="C9" s="15"/>
      <c r="D9" s="15"/>
    </row>
    <row r="10" spans="1:4" ht="54.75" customHeight="1" x14ac:dyDescent="0.2">
      <c r="A10" s="15" t="s">
        <v>554</v>
      </c>
      <c r="B10" s="15" t="s">
        <v>555</v>
      </c>
      <c r="C10" s="15"/>
      <c r="D10" s="15"/>
    </row>
    <row r="11" spans="1:4" ht="95.25" customHeight="1" x14ac:dyDescent="0.2">
      <c r="A11" s="15" t="s">
        <v>550</v>
      </c>
      <c r="B11" s="15" t="s">
        <v>556</v>
      </c>
      <c r="C11" s="15"/>
      <c r="D11" s="15"/>
    </row>
  </sheetData>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548235"/>
  </sheetPr>
  <dimension ref="A1:B13"/>
  <sheetViews>
    <sheetView tabSelected="1" zoomScaleNormal="100" workbookViewId="0">
      <pane xSplit="1" ySplit="2" topLeftCell="B3" activePane="bottomRight" state="frozen"/>
      <selection pane="topRight" activeCell="B1" sqref="B1"/>
      <selection pane="bottomLeft" activeCell="A3" sqref="A3"/>
      <selection pane="bottomRight" activeCell="B8" sqref="B8"/>
    </sheetView>
  </sheetViews>
  <sheetFormatPr baseColWidth="10" defaultColWidth="8.6640625" defaultRowHeight="15" x14ac:dyDescent="0.2"/>
  <cols>
    <col min="1" max="1" width="40" customWidth="1"/>
    <col min="2" max="7" width="24" customWidth="1"/>
  </cols>
  <sheetData>
    <row r="1" spans="1:2" ht="17.25" customHeight="1" x14ac:dyDescent="0.2">
      <c r="A1" s="13" t="s">
        <v>557</v>
      </c>
      <c r="B1" s="13"/>
    </row>
    <row r="2" spans="1:2" ht="15" customHeight="1" x14ac:dyDescent="0.2">
      <c r="A2" s="14" t="s">
        <v>558</v>
      </c>
      <c r="B2" s="14" t="s">
        <v>501</v>
      </c>
    </row>
    <row r="3" spans="1:2" ht="15" customHeight="1" x14ac:dyDescent="0.2">
      <c r="A3" s="15" t="s">
        <v>559</v>
      </c>
      <c r="B3" s="15">
        <v>36254</v>
      </c>
    </row>
    <row r="4" spans="1:2" ht="15" customHeight="1" x14ac:dyDescent="0.2">
      <c r="A4" s="15" t="s">
        <v>560</v>
      </c>
      <c r="B4" s="15">
        <v>1289</v>
      </c>
    </row>
    <row r="5" spans="1:2" ht="15" customHeight="1" x14ac:dyDescent="0.2">
      <c r="A5" s="15" t="s">
        <v>561</v>
      </c>
      <c r="B5" s="15">
        <f>B3+B4</f>
        <v>37543</v>
      </c>
    </row>
    <row r="6" spans="1:2" ht="15" customHeight="1" x14ac:dyDescent="0.2">
      <c r="A6" s="15" t="s">
        <v>562</v>
      </c>
      <c r="B6" s="15">
        <f>B3/'Operating Drivers'!B5</f>
        <v>0.20293310943184997</v>
      </c>
    </row>
    <row r="7" spans="1:2" ht="27.75" customHeight="1" x14ac:dyDescent="0.2">
      <c r="A7" s="15" t="s">
        <v>563</v>
      </c>
      <c r="B7" s="15">
        <f>B5/'Operating Drivers'!B5</f>
        <v>0.2101483347327176</v>
      </c>
    </row>
    <row r="8" spans="1:2" ht="68.25" customHeight="1" x14ac:dyDescent="0.2">
      <c r="A8" s="15" t="s">
        <v>564</v>
      </c>
      <c r="B8" s="15" t="s">
        <v>565</v>
      </c>
    </row>
    <row r="9" spans="1:2" ht="54.75" customHeight="1" x14ac:dyDescent="0.2">
      <c r="A9" s="15" t="s">
        <v>566</v>
      </c>
      <c r="B9" s="15" t="s">
        <v>567</v>
      </c>
    </row>
    <row r="10" spans="1:2" ht="68.25" customHeight="1" x14ac:dyDescent="0.2">
      <c r="A10" s="15" t="s">
        <v>568</v>
      </c>
      <c r="B10" s="15" t="s">
        <v>569</v>
      </c>
    </row>
    <row r="11" spans="1:2" ht="15" customHeight="1" x14ac:dyDescent="0.2">
      <c r="A11" t="s">
        <v>570</v>
      </c>
      <c r="B11">
        <v>6191</v>
      </c>
    </row>
    <row r="12" spans="1:2" ht="15" customHeight="1" x14ac:dyDescent="0.2">
      <c r="A12" t="s">
        <v>571</v>
      </c>
      <c r="B12">
        <f>B11-B4</f>
        <v>4902</v>
      </c>
    </row>
    <row r="13" spans="1:2" ht="15" customHeight="1" x14ac:dyDescent="0.2">
      <c r="A13" t="s">
        <v>166</v>
      </c>
      <c r="B13" t="s">
        <v>572</v>
      </c>
    </row>
  </sheetData>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030A0"/>
  </sheetPr>
  <dimension ref="A1:M47"/>
  <sheetViews>
    <sheetView showGridLines="0" topLeftCell="C12" zoomScale="90" zoomScaleNormal="90" workbookViewId="0">
      <selection activeCell="B44" sqref="B44"/>
    </sheetView>
  </sheetViews>
  <sheetFormatPr baseColWidth="10" defaultColWidth="10.6640625" defaultRowHeight="15" x14ac:dyDescent="0.2"/>
  <cols>
    <col min="1" max="1" width="2.33203125" customWidth="1"/>
    <col min="2" max="2" width="34.1640625" customWidth="1"/>
    <col min="4" max="4" width="20.1640625" customWidth="1"/>
    <col min="5" max="5" width="15" customWidth="1"/>
    <col min="11" max="11" width="21.1640625" customWidth="1"/>
  </cols>
  <sheetData>
    <row r="1" spans="1:13" ht="15" customHeight="1" x14ac:dyDescent="0.2">
      <c r="A1" s="1" t="str">
        <f>'Data Sheet'!B1&amp;" - WACC"</f>
        <v>INFOSYS LTD - WACC</v>
      </c>
      <c r="B1" s="1"/>
      <c r="C1" s="1"/>
      <c r="D1" s="1"/>
      <c r="E1" s="1"/>
      <c r="F1" s="1"/>
      <c r="G1" s="1"/>
      <c r="H1" s="1"/>
    </row>
    <row r="6" spans="1:13" ht="15" customHeight="1" x14ac:dyDescent="0.2">
      <c r="B6" s="135" t="s">
        <v>573</v>
      </c>
      <c r="C6" s="136"/>
      <c r="D6" s="136"/>
      <c r="E6" s="136"/>
      <c r="F6" s="136"/>
      <c r="G6" s="136"/>
      <c r="H6" s="137"/>
    </row>
    <row r="8" spans="1:13" ht="15" customHeight="1" x14ac:dyDescent="0.2">
      <c r="B8" s="138" t="s">
        <v>574</v>
      </c>
    </row>
    <row r="10" spans="1:13" ht="15" customHeight="1" x14ac:dyDescent="0.2">
      <c r="B10" t="s">
        <v>575</v>
      </c>
    </row>
    <row r="11" spans="1:13" ht="18" customHeight="1" x14ac:dyDescent="0.2">
      <c r="B11" s="76"/>
      <c r="C11" s="76"/>
      <c r="D11" s="76"/>
      <c r="E11" s="76"/>
      <c r="F11" s="76"/>
      <c r="G11" s="139" t="s">
        <v>576</v>
      </c>
      <c r="H11" s="139" t="s">
        <v>576</v>
      </c>
      <c r="I11" s="139" t="s">
        <v>577</v>
      </c>
      <c r="J11" s="139" t="s">
        <v>578</v>
      </c>
      <c r="M11" s="140"/>
    </row>
    <row r="12" spans="1:13" ht="16.5" customHeight="1" x14ac:dyDescent="0.2">
      <c r="B12" s="80" t="s">
        <v>579</v>
      </c>
      <c r="C12" s="141" t="s">
        <v>580</v>
      </c>
      <c r="D12" s="142" t="s">
        <v>581</v>
      </c>
      <c r="E12" s="141" t="s">
        <v>582</v>
      </c>
      <c r="F12" s="141" t="s">
        <v>583</v>
      </c>
      <c r="G12" s="141" t="s">
        <v>584</v>
      </c>
      <c r="H12" s="141" t="s">
        <v>585</v>
      </c>
      <c r="I12" s="141" t="s">
        <v>586</v>
      </c>
      <c r="J12" s="141" t="s">
        <v>587</v>
      </c>
    </row>
    <row r="14" spans="1:13" ht="15" customHeight="1" x14ac:dyDescent="0.2">
      <c r="B14" s="143" t="s">
        <v>588</v>
      </c>
      <c r="C14" s="144" t="s">
        <v>589</v>
      </c>
      <c r="D14" s="145">
        <f>'Data Sheet'!$K$59</f>
        <v>9176</v>
      </c>
      <c r="E14" s="145">
        <f>'Data Sheet'!$B$9</f>
        <v>454908.14</v>
      </c>
      <c r="F14" s="146">
        <v>0.25</v>
      </c>
      <c r="G14" s="147">
        <f t="shared" ref="G14:G19" si="0">D14/E14</f>
        <v>2.0171105313701355E-2</v>
      </c>
      <c r="H14" s="147">
        <f t="shared" ref="H14:H19" si="1">D14/(D14+E14)</f>
        <v>1.9772276639318034E-2</v>
      </c>
      <c r="I14" s="148">
        <f>'Beta - Regression'!N11</f>
        <v>0.72659477675704454</v>
      </c>
      <c r="J14" s="148">
        <f t="shared" ref="J14:J19" si="2">I14/(1+(1-F14)*G14)</f>
        <v>0.71576642677615943</v>
      </c>
    </row>
    <row r="15" spans="1:13" ht="15" customHeight="1" x14ac:dyDescent="0.2">
      <c r="B15" s="143" t="s">
        <v>590</v>
      </c>
      <c r="C15" s="144" t="s">
        <v>589</v>
      </c>
      <c r="D15" s="145">
        <v>11283</v>
      </c>
      <c r="E15" s="145">
        <v>832883.75</v>
      </c>
      <c r="F15" s="146">
        <v>0.3</v>
      </c>
      <c r="G15" s="147">
        <f t="shared" si="0"/>
        <v>1.3546908557166591E-2</v>
      </c>
      <c r="H15" s="147">
        <f t="shared" si="1"/>
        <v>1.3365842708209012E-2</v>
      </c>
      <c r="I15" s="148">
        <f>'Peer - Beta Regression'!E116</f>
        <v>0.88127551589723496</v>
      </c>
      <c r="J15" s="148">
        <f t="shared" si="2"/>
        <v>0.87299702825848791</v>
      </c>
    </row>
    <row r="16" spans="1:13" ht="15" customHeight="1" x14ac:dyDescent="0.2">
      <c r="B16" s="143" t="s">
        <v>591</v>
      </c>
      <c r="C16" s="144" t="s">
        <v>589</v>
      </c>
      <c r="D16" s="145">
        <v>5215</v>
      </c>
      <c r="E16" s="145">
        <v>353454.88</v>
      </c>
      <c r="F16" s="146">
        <v>0.3</v>
      </c>
      <c r="G16" s="147">
        <f t="shared" si="0"/>
        <v>1.4754358462952895E-2</v>
      </c>
      <c r="H16" s="147">
        <f t="shared" si="1"/>
        <v>1.4539832561351402E-2</v>
      </c>
      <c r="I16" s="148">
        <f>'Peer - Beta Regression'!H116</f>
        <v>0.81276296149595595</v>
      </c>
      <c r="J16" s="148">
        <f t="shared" si="2"/>
        <v>0.80445451430610682</v>
      </c>
    </row>
    <row r="17" spans="2:12" ht="15" customHeight="1" x14ac:dyDescent="0.2">
      <c r="B17" s="143" t="s">
        <v>592</v>
      </c>
      <c r="C17" s="144" t="s">
        <v>589</v>
      </c>
      <c r="D17" s="145">
        <v>20291</v>
      </c>
      <c r="E17" s="145">
        <v>179064.13</v>
      </c>
      <c r="F17" s="146">
        <v>0.3</v>
      </c>
      <c r="G17" s="147">
        <f t="shared" si="0"/>
        <v>0.11331694404680602</v>
      </c>
      <c r="H17" s="147">
        <f t="shared" si="1"/>
        <v>0.10178318461130145</v>
      </c>
      <c r="I17" s="148">
        <f>'Peer - Beta Regression'!K116</f>
        <v>0.74467100135243203</v>
      </c>
      <c r="J17" s="148">
        <f t="shared" si="2"/>
        <v>0.68994340648105834</v>
      </c>
    </row>
    <row r="18" spans="2:12" ht="15" customHeight="1" x14ac:dyDescent="0.2">
      <c r="B18" s="143" t="s">
        <v>593</v>
      </c>
      <c r="C18" s="144" t="s">
        <v>589</v>
      </c>
      <c r="D18" s="145">
        <v>2186.1999999999998</v>
      </c>
      <c r="E18" s="145">
        <v>155245.43</v>
      </c>
      <c r="F18" s="146">
        <v>0.3</v>
      </c>
      <c r="G18" s="147">
        <f t="shared" si="0"/>
        <v>1.4082218072377396E-2</v>
      </c>
      <c r="H18" s="147">
        <f t="shared" si="1"/>
        <v>1.3886663054940102E-2</v>
      </c>
      <c r="I18" s="148">
        <f>'Peer - Beta Regression'!N116</f>
        <v>0.71337806177556495</v>
      </c>
      <c r="J18" s="148">
        <f t="shared" si="2"/>
        <v>0.70641454322255381</v>
      </c>
    </row>
    <row r="19" spans="2:12" ht="15" customHeight="1" x14ac:dyDescent="0.2">
      <c r="B19" s="143" t="s">
        <v>172</v>
      </c>
      <c r="C19" s="144" t="s">
        <v>589</v>
      </c>
      <c r="D19" s="145">
        <v>2310</v>
      </c>
      <c r="E19" s="145">
        <v>133117.72</v>
      </c>
      <c r="F19" s="146">
        <v>0.3</v>
      </c>
      <c r="G19" s="147">
        <f t="shared" si="0"/>
        <v>1.7353061635971528E-2</v>
      </c>
      <c r="H19" s="147">
        <f t="shared" si="1"/>
        <v>1.7057069261743461E-2</v>
      </c>
      <c r="I19" s="148">
        <f>'Peer - Beta Regression'!Q116</f>
        <v>1.1723378615544799</v>
      </c>
      <c r="J19" s="148">
        <f t="shared" si="2"/>
        <v>1.1582682117854108</v>
      </c>
    </row>
    <row r="21" spans="2:12" ht="15" customHeight="1" x14ac:dyDescent="0.2">
      <c r="E21" s="149" t="s">
        <v>594</v>
      </c>
      <c r="F21" s="75">
        <f>AVERAGE(F15:F19)</f>
        <v>0.3</v>
      </c>
      <c r="G21" s="75">
        <f>AVERAGE(G15:G19)</f>
        <v>3.4610698155054888E-2</v>
      </c>
      <c r="H21" s="75">
        <f>AVERAGE(H15:H19)</f>
        <v>3.2126518439509089E-2</v>
      </c>
      <c r="I21" s="150">
        <f>AVERAGE(I15:I19)</f>
        <v>0.86488508041513357</v>
      </c>
      <c r="J21" s="150">
        <f>AVERAGE(J15:J19)</f>
        <v>0.84641554081072345</v>
      </c>
    </row>
    <row r="22" spans="2:12" ht="15" customHeight="1" x14ac:dyDescent="0.2">
      <c r="E22" s="151" t="s">
        <v>287</v>
      </c>
      <c r="F22" s="79">
        <f>MEDIAN(F15:F19)</f>
        <v>0.3</v>
      </c>
      <c r="G22" s="79">
        <f>MEDIAN(G15:G19)</f>
        <v>1.4754358462952895E-2</v>
      </c>
      <c r="H22" s="79">
        <f>MEDIAN(H15:H19)</f>
        <v>1.4539832561351402E-2</v>
      </c>
      <c r="I22" s="152">
        <f>MEDIAN(I15:I19)</f>
        <v>0.81276296149595595</v>
      </c>
      <c r="J22" s="152">
        <f>MEDIAN(J15:J19)</f>
        <v>0.80445451430610682</v>
      </c>
    </row>
    <row r="25" spans="2:12" ht="15" customHeight="1" x14ac:dyDescent="0.2">
      <c r="B25" s="151" t="s">
        <v>595</v>
      </c>
      <c r="C25" s="80"/>
      <c r="D25" s="80"/>
      <c r="H25" s="151" t="s">
        <v>596</v>
      </c>
      <c r="I25" s="80"/>
      <c r="J25" s="80"/>
    </row>
    <row r="26" spans="2:12" ht="15" customHeight="1" x14ac:dyDescent="0.2">
      <c r="E26" s="76"/>
      <c r="K26" s="76"/>
    </row>
    <row r="27" spans="2:12" ht="15" customHeight="1" x14ac:dyDescent="0.2">
      <c r="B27" t="s">
        <v>597</v>
      </c>
      <c r="E27" s="153">
        <f>HistoricalFS!L21/D14</f>
        <v>4.5335658238884045E-2</v>
      </c>
      <c r="H27" t="s">
        <v>598</v>
      </c>
      <c r="K27" s="146">
        <v>6.7699999999999996E-2</v>
      </c>
      <c r="L27" s="146" t="s">
        <v>599</v>
      </c>
    </row>
    <row r="28" spans="2:12" ht="15" customHeight="1" x14ac:dyDescent="0.2">
      <c r="B28" t="s">
        <v>600</v>
      </c>
      <c r="E28" s="154">
        <v>0.25169999999999998</v>
      </c>
      <c r="H28" t="s">
        <v>601</v>
      </c>
      <c r="K28" s="50">
        <f>Rm!F11-WACC!K27</f>
        <v>6.1803341434880629E-2</v>
      </c>
      <c r="L28" s="146" t="s">
        <v>602</v>
      </c>
    </row>
    <row r="29" spans="2:12" ht="16.5" customHeight="1" x14ac:dyDescent="0.2">
      <c r="B29" s="73" t="s">
        <v>603</v>
      </c>
      <c r="C29" s="73"/>
      <c r="D29" s="73"/>
      <c r="E29" s="155">
        <f>E27*(1-E28)</f>
        <v>3.392467306015693E-2</v>
      </c>
      <c r="H29" t="s">
        <v>604</v>
      </c>
      <c r="K29" s="148">
        <f>K38</f>
        <v>0.82443574853806623</v>
      </c>
      <c r="L29" s="146" t="s">
        <v>605</v>
      </c>
    </row>
    <row r="30" spans="2:12" ht="15" customHeight="1" x14ac:dyDescent="0.2">
      <c r="H30" s="73" t="s">
        <v>596</v>
      </c>
      <c r="I30" s="73"/>
      <c r="J30" s="73"/>
      <c r="K30" s="155">
        <f>K27+K28*K29</f>
        <v>0.11865288405801949</v>
      </c>
      <c r="L30" s="146" t="s">
        <v>606</v>
      </c>
    </row>
    <row r="33" spans="2:12" ht="15" customHeight="1" x14ac:dyDescent="0.2">
      <c r="B33" s="151" t="s">
        <v>607</v>
      </c>
      <c r="C33" s="151"/>
      <c r="D33" s="80"/>
      <c r="E33" s="80"/>
      <c r="H33" s="151" t="s">
        <v>608</v>
      </c>
      <c r="I33" s="151"/>
      <c r="J33" s="80"/>
      <c r="K33" s="80"/>
    </row>
    <row r="35" spans="2:12" ht="15" customHeight="1" x14ac:dyDescent="0.2">
      <c r="D35" s="156" t="s">
        <v>609</v>
      </c>
      <c r="E35" s="156" t="s">
        <v>610</v>
      </c>
      <c r="H35" t="s">
        <v>611</v>
      </c>
      <c r="K35" s="148">
        <f>J22</f>
        <v>0.80445451430610682</v>
      </c>
    </row>
    <row r="36" spans="2:12" ht="15" customHeight="1" x14ac:dyDescent="0.2">
      <c r="B36" t="s">
        <v>581</v>
      </c>
      <c r="C36" s="145">
        <f>D14</f>
        <v>9176</v>
      </c>
      <c r="D36" s="50">
        <f>C36/$C$38</f>
        <v>1.9772276639318034E-2</v>
      </c>
      <c r="E36" s="146">
        <f>H21</f>
        <v>3.2126518439509089E-2</v>
      </c>
      <c r="F36" s="157" t="s">
        <v>612</v>
      </c>
      <c r="H36" t="s">
        <v>613</v>
      </c>
      <c r="K36" s="50">
        <f>E40</f>
        <v>3.3192890446499146E-2</v>
      </c>
    </row>
    <row r="37" spans="2:12" ht="15" customHeight="1" x14ac:dyDescent="0.2">
      <c r="B37" t="s">
        <v>614</v>
      </c>
      <c r="C37" s="145">
        <f>E14</f>
        <v>454908.14</v>
      </c>
      <c r="D37" s="50">
        <f>C37/$C$38</f>
        <v>0.98022772336068198</v>
      </c>
      <c r="E37" s="50">
        <f>E38-E36</f>
        <v>0.96787348156049091</v>
      </c>
      <c r="H37" t="s">
        <v>438</v>
      </c>
      <c r="K37" s="63">
        <f>E28</f>
        <v>0.25169999999999998</v>
      </c>
    </row>
    <row r="38" spans="2:12" ht="15" customHeight="1" x14ac:dyDescent="0.2">
      <c r="B38" s="73" t="s">
        <v>615</v>
      </c>
      <c r="C38" s="158">
        <f>SUM(C36:C37)</f>
        <v>464084.14</v>
      </c>
      <c r="D38" s="74">
        <f>C38/$C$38</f>
        <v>1</v>
      </c>
      <c r="E38" s="74">
        <f>D38</f>
        <v>1</v>
      </c>
      <c r="H38" s="73" t="s">
        <v>608</v>
      </c>
      <c r="I38" s="73"/>
      <c r="J38" s="73"/>
      <c r="K38" s="159">
        <f>K35*(1+(1-K37)*K36)</f>
        <v>0.82443574853806623</v>
      </c>
    </row>
    <row r="40" spans="2:12" ht="15" customHeight="1" x14ac:dyDescent="0.2">
      <c r="B40" t="s">
        <v>616</v>
      </c>
      <c r="D40" s="147">
        <f>D36/D37</f>
        <v>2.0171105313701355E-2</v>
      </c>
      <c r="E40" s="147">
        <f>E36/E37</f>
        <v>3.3192890446499146E-2</v>
      </c>
      <c r="H40" s="151" t="s">
        <v>573</v>
      </c>
      <c r="I40" s="80"/>
      <c r="J40" s="80"/>
      <c r="K40" s="80"/>
      <c r="L40" s="80"/>
    </row>
    <row r="42" spans="2:12" ht="15" customHeight="1" x14ac:dyDescent="0.2">
      <c r="B42" t="s">
        <v>617</v>
      </c>
      <c r="E42" s="50"/>
      <c r="K42" s="160" t="s">
        <v>618</v>
      </c>
      <c r="L42" s="160" t="s">
        <v>619</v>
      </c>
    </row>
    <row r="43" spans="2:12" ht="15" customHeight="1" x14ac:dyDescent="0.2">
      <c r="B43" s="161" t="s">
        <v>620</v>
      </c>
      <c r="H43" t="s">
        <v>621</v>
      </c>
      <c r="K43" s="50">
        <f>E29</f>
        <v>3.392467306015693E-2</v>
      </c>
      <c r="L43" s="50">
        <f>E36</f>
        <v>3.2126518439509089E-2</v>
      </c>
    </row>
    <row r="44" spans="2:12" ht="15" customHeight="1" x14ac:dyDescent="0.2">
      <c r="B44" s="161" t="s">
        <v>622</v>
      </c>
      <c r="H44" t="s">
        <v>584</v>
      </c>
      <c r="K44" s="50">
        <f>K30</f>
        <v>0.11865288405801949</v>
      </c>
      <c r="L44" s="50">
        <f>E37</f>
        <v>0.96787348156049091</v>
      </c>
    </row>
    <row r="45" spans="2:12" ht="15" customHeight="1" x14ac:dyDescent="0.2">
      <c r="B45" s="161" t="s">
        <v>623</v>
      </c>
      <c r="H45" s="90" t="s">
        <v>573</v>
      </c>
      <c r="I45" s="90"/>
      <c r="J45" s="90"/>
      <c r="K45" s="162"/>
      <c r="L45" s="155">
        <f>SUMPRODUCT(K43:K44,L43:L44)</f>
        <v>0.11593086162505005</v>
      </c>
    </row>
    <row r="46" spans="2:12" ht="15" customHeight="1" x14ac:dyDescent="0.2">
      <c r="B46" s="161" t="s">
        <v>624</v>
      </c>
    </row>
    <row r="47" spans="2:12" ht="15" customHeight="1" x14ac:dyDescent="0.2">
      <c r="B47" s="106"/>
      <c r="F47" s="4"/>
      <c r="G47" s="4"/>
      <c r="H47" s="4"/>
      <c r="I47" s="4"/>
      <c r="J47" s="4"/>
      <c r="K47" s="4"/>
      <c r="L47" s="4"/>
    </row>
  </sheetData>
  <mergeCells count="2">
    <mergeCell ref="A1:H1"/>
    <mergeCell ref="F47:L47"/>
  </mergeCells>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030A0"/>
  </sheetPr>
  <dimension ref="B5:U114"/>
  <sheetViews>
    <sheetView topLeftCell="F7" zoomScaleNormal="100" workbookViewId="0">
      <selection activeCell="J32" sqref="J32"/>
    </sheetView>
  </sheetViews>
  <sheetFormatPr baseColWidth="10" defaultColWidth="10.6640625" defaultRowHeight="15" x14ac:dyDescent="0.2"/>
  <cols>
    <col min="1" max="1" width="2.33203125" customWidth="1"/>
    <col min="2" max="2" width="17.6640625" customWidth="1"/>
    <col min="3" max="3" width="13.1640625" customWidth="1"/>
    <col min="5" max="5" width="10.33203125" customWidth="1"/>
    <col min="6" max="6" width="19" customWidth="1"/>
    <col min="7" max="8" width="13.1640625" customWidth="1"/>
    <col min="10" max="10" width="16.1640625" customWidth="1"/>
  </cols>
  <sheetData>
    <row r="5" spans="2:14" ht="15" customHeight="1" x14ac:dyDescent="0.2">
      <c r="B5" s="3" t="s">
        <v>625</v>
      </c>
      <c r="C5" s="3"/>
    </row>
    <row r="7" spans="2:14" ht="15" customHeight="1" x14ac:dyDescent="0.2">
      <c r="B7" s="279" t="s">
        <v>626</v>
      </c>
      <c r="C7" s="279"/>
      <c r="D7" s="279"/>
      <c r="F7" s="279" t="s">
        <v>627</v>
      </c>
      <c r="G7" s="279"/>
      <c r="H7" s="279"/>
      <c r="J7" s="279" t="s">
        <v>628</v>
      </c>
      <c r="K7" s="279"/>
      <c r="M7" t="s">
        <v>629</v>
      </c>
      <c r="N7">
        <f>SLOPE(D11:D114,H11:H114)</f>
        <v>0.72659477675704454</v>
      </c>
    </row>
    <row r="8" spans="2:14" ht="15" customHeight="1" x14ac:dyDescent="0.2">
      <c r="M8" t="s">
        <v>586</v>
      </c>
      <c r="N8">
        <f>_xlfn.COVARIANCE.S(D11:D114,H11:H114)/_xlfn.VAR.S(H11:H114)</f>
        <v>0.7265947767570442</v>
      </c>
    </row>
    <row r="9" spans="2:14" ht="15" customHeight="1" x14ac:dyDescent="0.2">
      <c r="B9" s="151" t="s">
        <v>630</v>
      </c>
      <c r="C9" s="151" t="s">
        <v>263</v>
      </c>
      <c r="D9" s="151" t="s">
        <v>631</v>
      </c>
      <c r="F9" s="151" t="s">
        <v>630</v>
      </c>
      <c r="G9" s="156" t="s">
        <v>632</v>
      </c>
      <c r="H9" s="156" t="s">
        <v>631</v>
      </c>
      <c r="J9" t="s">
        <v>633</v>
      </c>
      <c r="K9" s="148">
        <f>N11</f>
        <v>0.72659477675704454</v>
      </c>
    </row>
    <row r="10" spans="2:14" ht="15" customHeight="1" x14ac:dyDescent="0.2">
      <c r="B10" s="163">
        <v>45522</v>
      </c>
      <c r="C10" s="164">
        <v>1862.1</v>
      </c>
      <c r="D10" s="50"/>
      <c r="F10" s="165">
        <v>45522</v>
      </c>
      <c r="G10" s="164">
        <v>24823.15</v>
      </c>
      <c r="H10" s="50"/>
      <c r="J10" t="s">
        <v>634</v>
      </c>
      <c r="K10" s="50">
        <v>0.75</v>
      </c>
    </row>
    <row r="11" spans="2:14" ht="15" customHeight="1" x14ac:dyDescent="0.2">
      <c r="B11" s="163">
        <v>45529</v>
      </c>
      <c r="C11" s="164">
        <v>1943.7</v>
      </c>
      <c r="D11" s="50">
        <f t="shared" ref="D11:D42" si="0">C11/C10-1</f>
        <v>4.3821491864024509E-2</v>
      </c>
      <c r="F11" s="165">
        <v>45529</v>
      </c>
      <c r="G11" s="164">
        <v>25235.9</v>
      </c>
      <c r="H11" s="50">
        <f t="shared" ref="H11:H42" si="1">G11/G10-1</f>
        <v>1.6627623810837822E-2</v>
      </c>
      <c r="M11" t="s">
        <v>587</v>
      </c>
      <c r="N11">
        <f>N32</f>
        <v>0.72659477675704454</v>
      </c>
    </row>
    <row r="12" spans="2:14" ht="15" customHeight="1" x14ac:dyDescent="0.2">
      <c r="B12" s="163">
        <v>45536</v>
      </c>
      <c r="C12" s="164">
        <v>1901.85</v>
      </c>
      <c r="D12" s="50">
        <f t="shared" si="0"/>
        <v>-2.1531100478468956E-2</v>
      </c>
      <c r="F12" s="165">
        <v>45536</v>
      </c>
      <c r="G12" s="164">
        <v>24852.15</v>
      </c>
      <c r="H12" s="50">
        <f t="shared" si="1"/>
        <v>-1.5206511358818231E-2</v>
      </c>
      <c r="J12" t="s">
        <v>635</v>
      </c>
      <c r="K12" s="148">
        <v>1</v>
      </c>
    </row>
    <row r="13" spans="2:14" ht="15" customHeight="1" x14ac:dyDescent="0.2">
      <c r="B13" s="163">
        <v>45543</v>
      </c>
      <c r="C13" s="164">
        <v>1944.1</v>
      </c>
      <c r="D13" s="50">
        <f t="shared" si="0"/>
        <v>2.2215211504587717E-2</v>
      </c>
      <c r="F13" s="165">
        <v>45543</v>
      </c>
      <c r="G13" s="164">
        <v>25356.5</v>
      </c>
      <c r="H13" s="50">
        <f t="shared" si="1"/>
        <v>2.0294018827344829E-2</v>
      </c>
      <c r="J13" t="s">
        <v>636</v>
      </c>
      <c r="K13" s="50">
        <v>0.25</v>
      </c>
    </row>
    <row r="14" spans="2:14" ht="15" customHeight="1" x14ac:dyDescent="0.2">
      <c r="B14" s="163">
        <v>45550</v>
      </c>
      <c r="C14" s="164">
        <v>1905.75</v>
      </c>
      <c r="D14" s="50">
        <f t="shared" si="0"/>
        <v>-1.972635152512725E-2</v>
      </c>
      <c r="F14" s="165">
        <v>45550</v>
      </c>
      <c r="G14" s="164">
        <v>25790.95</v>
      </c>
      <c r="H14" s="50">
        <f t="shared" si="1"/>
        <v>1.7133673811448702E-2</v>
      </c>
    </row>
    <row r="15" spans="2:14" ht="15" customHeight="1" x14ac:dyDescent="0.2">
      <c r="B15" s="163">
        <v>45557</v>
      </c>
      <c r="C15" s="164">
        <v>1906.75</v>
      </c>
      <c r="D15" s="50">
        <f t="shared" si="0"/>
        <v>5.2472779745516007E-4</v>
      </c>
      <c r="F15" s="165">
        <v>45557</v>
      </c>
      <c r="G15" s="164">
        <v>26178.95</v>
      </c>
      <c r="H15" s="50">
        <f t="shared" si="1"/>
        <v>1.5044036764834123E-2</v>
      </c>
      <c r="J15" s="166" t="s">
        <v>637</v>
      </c>
      <c r="K15" s="166">
        <f>(K9*K10)+(K12*K13)</f>
        <v>0.79494608256778343</v>
      </c>
      <c r="M15" t="s">
        <v>638</v>
      </c>
    </row>
    <row r="16" spans="2:14" ht="15.75" customHeight="1" x14ac:dyDescent="0.2">
      <c r="B16" s="163">
        <v>45564</v>
      </c>
      <c r="C16" s="164">
        <v>1918.15</v>
      </c>
      <c r="D16" s="50">
        <f t="shared" si="0"/>
        <v>5.9787596695948242E-3</v>
      </c>
      <c r="F16" s="165">
        <v>45564</v>
      </c>
      <c r="G16" s="164">
        <v>25014.6</v>
      </c>
      <c r="H16" s="50">
        <f t="shared" si="1"/>
        <v>-4.4476573735768743E-2</v>
      </c>
    </row>
    <row r="17" spans="2:21" ht="15" customHeight="1" x14ac:dyDescent="0.2">
      <c r="B17" s="163">
        <v>45571</v>
      </c>
      <c r="C17" s="164">
        <v>1935.1</v>
      </c>
      <c r="D17" s="50">
        <f t="shared" si="0"/>
        <v>8.8366394703229822E-3</v>
      </c>
      <c r="F17" s="165">
        <v>45571</v>
      </c>
      <c r="G17" s="164">
        <v>24964.25</v>
      </c>
      <c r="H17" s="50">
        <f t="shared" si="1"/>
        <v>-2.0128245104857889E-3</v>
      </c>
      <c r="M17" s="280" t="s">
        <v>639</v>
      </c>
      <c r="N17" s="280"/>
    </row>
    <row r="18" spans="2:21" ht="15" customHeight="1" x14ac:dyDescent="0.2">
      <c r="B18" s="163">
        <v>45578</v>
      </c>
      <c r="C18" s="164">
        <v>1879.6</v>
      </c>
      <c r="D18" s="50">
        <f t="shared" si="0"/>
        <v>-2.8680688336520044E-2</v>
      </c>
      <c r="F18" s="165">
        <v>45578</v>
      </c>
      <c r="G18" s="164">
        <v>24854.05</v>
      </c>
      <c r="H18" s="50">
        <f t="shared" si="1"/>
        <v>-4.4143124668275524E-3</v>
      </c>
      <c r="M18" t="s">
        <v>640</v>
      </c>
      <c r="N18">
        <f>CORREL(D11:D114,H11:H114)</f>
        <v>0.36601952140782612</v>
      </c>
    </row>
    <row r="19" spans="2:21" ht="15" customHeight="1" x14ac:dyDescent="0.2">
      <c r="B19" s="163">
        <v>45585</v>
      </c>
      <c r="C19" s="164">
        <v>1862.05</v>
      </c>
      <c r="D19" s="50">
        <f t="shared" si="0"/>
        <v>-9.3370929985102658E-3</v>
      </c>
      <c r="F19" s="165">
        <v>45585</v>
      </c>
      <c r="G19" s="164">
        <v>24180.799999999999</v>
      </c>
      <c r="H19" s="50">
        <f t="shared" si="1"/>
        <v>-2.7088140564616281E-2</v>
      </c>
      <c r="M19" t="s">
        <v>641</v>
      </c>
      <c r="N19">
        <f>N18^2</f>
        <v>0.13397029005161409</v>
      </c>
    </row>
    <row r="20" spans="2:21" ht="15" customHeight="1" x14ac:dyDescent="0.2">
      <c r="B20" s="163">
        <v>45592</v>
      </c>
      <c r="C20" s="164">
        <v>1760.85</v>
      </c>
      <c r="D20" s="50">
        <f t="shared" si="0"/>
        <v>-5.4348701699739599E-2</v>
      </c>
      <c r="F20" s="165">
        <v>45592</v>
      </c>
      <c r="G20" s="164">
        <v>24304.35</v>
      </c>
      <c r="H20" s="50">
        <f t="shared" si="1"/>
        <v>5.1094256600276999E-3</v>
      </c>
      <c r="M20" t="s">
        <v>642</v>
      </c>
      <c r="N20">
        <f>1-(1-N19)*(COUNT(D11:D114)-1)/(COUNT(D11:D114)-2)</f>
        <v>0.12547980269917891</v>
      </c>
    </row>
    <row r="21" spans="2:21" ht="15" customHeight="1" x14ac:dyDescent="0.2">
      <c r="B21" s="163">
        <v>45599</v>
      </c>
      <c r="C21" s="164">
        <v>1829.95</v>
      </c>
      <c r="D21" s="50">
        <f t="shared" si="0"/>
        <v>3.9242411335434602E-2</v>
      </c>
      <c r="F21" s="165">
        <v>45599</v>
      </c>
      <c r="G21" s="164">
        <v>24148.2</v>
      </c>
      <c r="H21" s="50">
        <f t="shared" si="1"/>
        <v>-6.4247758117372822E-3</v>
      </c>
      <c r="M21" t="s">
        <v>643</v>
      </c>
      <c r="N21">
        <f>STEYX(D11:D114,H11:H114)</f>
        <v>3.405093903576837E-2</v>
      </c>
    </row>
    <row r="22" spans="2:21" ht="15.75" customHeight="1" x14ac:dyDescent="0.2">
      <c r="B22" s="163">
        <v>45606</v>
      </c>
      <c r="C22" s="164">
        <v>1864.55</v>
      </c>
      <c r="D22" s="50">
        <f t="shared" si="0"/>
        <v>1.8907620426787508E-2</v>
      </c>
      <c r="F22" s="165">
        <v>45606</v>
      </c>
      <c r="G22" s="164">
        <v>23532.7</v>
      </c>
      <c r="H22" s="50">
        <f t="shared" si="1"/>
        <v>-2.5488442202731498E-2</v>
      </c>
      <c r="M22" s="168" t="s">
        <v>644</v>
      </c>
      <c r="N22" s="168">
        <f>COUNT(D11:D114)</f>
        <v>104</v>
      </c>
    </row>
    <row r="23" spans="2:21" ht="15" customHeight="1" x14ac:dyDescent="0.2">
      <c r="B23" s="163">
        <v>45613</v>
      </c>
      <c r="C23" s="164">
        <v>1902.25</v>
      </c>
      <c r="D23" s="50">
        <f t="shared" si="0"/>
        <v>2.0219355876753164E-2</v>
      </c>
      <c r="F23" s="165">
        <v>45613</v>
      </c>
      <c r="G23" s="164">
        <v>23907.25</v>
      </c>
      <c r="H23" s="50">
        <f t="shared" si="1"/>
        <v>1.5916150717937061E-2</v>
      </c>
    </row>
    <row r="24" spans="2:21" ht="15.75" customHeight="1" x14ac:dyDescent="0.2">
      <c r="B24" s="163">
        <v>45620</v>
      </c>
      <c r="C24" s="164">
        <v>1857.85</v>
      </c>
      <c r="D24" s="50">
        <f t="shared" si="0"/>
        <v>-2.3340780654488191E-2</v>
      </c>
      <c r="F24" s="165">
        <v>45620</v>
      </c>
      <c r="G24" s="164">
        <v>24131.1</v>
      </c>
      <c r="H24" s="50">
        <f t="shared" si="1"/>
        <v>9.3632684645870157E-3</v>
      </c>
      <c r="M24" t="s">
        <v>645</v>
      </c>
    </row>
    <row r="25" spans="2:21" ht="15" customHeight="1" x14ac:dyDescent="0.2">
      <c r="B25" s="163">
        <v>45627</v>
      </c>
      <c r="C25" s="164">
        <v>1922.4</v>
      </c>
      <c r="D25" s="50">
        <f t="shared" si="0"/>
        <v>3.4744462685362132E-2</v>
      </c>
      <c r="F25" s="165">
        <v>45627</v>
      </c>
      <c r="G25" s="164">
        <v>24677.8</v>
      </c>
      <c r="H25" s="50">
        <f t="shared" si="1"/>
        <v>2.2655411481449228E-2</v>
      </c>
      <c r="M25" s="167"/>
      <c r="N25" s="167" t="s">
        <v>646</v>
      </c>
      <c r="O25" s="167" t="s">
        <v>647</v>
      </c>
      <c r="P25" s="167" t="s">
        <v>648</v>
      </c>
      <c r="Q25" s="167" t="s">
        <v>649</v>
      </c>
      <c r="R25" s="167" t="s">
        <v>650</v>
      </c>
    </row>
    <row r="26" spans="2:21" ht="15" customHeight="1" x14ac:dyDescent="0.2">
      <c r="B26" s="163">
        <v>45634</v>
      </c>
      <c r="C26" s="164">
        <v>1999.7</v>
      </c>
      <c r="D26" s="50">
        <f t="shared" si="0"/>
        <v>4.0210153974198803E-2</v>
      </c>
      <c r="F26" s="165">
        <v>45634</v>
      </c>
      <c r="G26" s="164">
        <v>24768.3</v>
      </c>
      <c r="H26" s="50">
        <f t="shared" si="1"/>
        <v>3.6672636944945491E-3</v>
      </c>
      <c r="M26" t="s">
        <v>651</v>
      </c>
      <c r="N26">
        <v>1</v>
      </c>
      <c r="O26">
        <v>2.0205568685100799E-2</v>
      </c>
      <c r="P26">
        <v>2.0205568685100799E-2</v>
      </c>
      <c r="Q26">
        <v>19.859216436522399</v>
      </c>
      <c r="R26">
        <v>2.1430589822828399E-5</v>
      </c>
    </row>
    <row r="27" spans="2:21" ht="15" customHeight="1" x14ac:dyDescent="0.2">
      <c r="B27" s="163">
        <v>45641</v>
      </c>
      <c r="C27" s="164">
        <v>1922.15</v>
      </c>
      <c r="D27" s="50">
        <f t="shared" si="0"/>
        <v>-3.8780817122568312E-2</v>
      </c>
      <c r="F27" s="165">
        <v>45641</v>
      </c>
      <c r="G27" s="164">
        <v>23587.5</v>
      </c>
      <c r="H27" s="50">
        <f t="shared" si="1"/>
        <v>-4.7673841159869612E-2</v>
      </c>
      <c r="M27" t="s">
        <v>652</v>
      </c>
      <c r="N27">
        <v>102</v>
      </c>
      <c r="O27">
        <v>0.103778918592681</v>
      </c>
      <c r="P27">
        <v>1.01744037835962E-3</v>
      </c>
    </row>
    <row r="28" spans="2:21" ht="15.75" customHeight="1" x14ac:dyDescent="0.2">
      <c r="B28" s="163">
        <v>45648</v>
      </c>
      <c r="C28" s="164">
        <v>1916.75</v>
      </c>
      <c r="D28" s="50">
        <f t="shared" si="0"/>
        <v>-2.8093541086804397E-3</v>
      </c>
      <c r="F28" s="165">
        <v>45648</v>
      </c>
      <c r="G28" s="164">
        <v>23813.4</v>
      </c>
      <c r="H28" s="50">
        <f t="shared" si="1"/>
        <v>9.5771065182830295E-3</v>
      </c>
      <c r="M28" s="168" t="s">
        <v>276</v>
      </c>
      <c r="N28" s="168">
        <v>103</v>
      </c>
      <c r="O28" s="168">
        <v>0.123984487277782</v>
      </c>
      <c r="P28" s="168"/>
      <c r="Q28" s="168"/>
      <c r="R28" s="168"/>
    </row>
    <row r="29" spans="2:21" ht="15.75" customHeight="1" x14ac:dyDescent="0.2">
      <c r="B29" s="163">
        <v>45655</v>
      </c>
      <c r="C29" s="164">
        <v>1938.75</v>
      </c>
      <c r="D29" s="50">
        <f t="shared" si="0"/>
        <v>1.1477761836441891E-2</v>
      </c>
      <c r="F29" s="165">
        <v>45655</v>
      </c>
      <c r="G29" s="164">
        <v>24004.75</v>
      </c>
      <c r="H29" s="50">
        <f t="shared" si="1"/>
        <v>8.035391838208783E-3</v>
      </c>
    </row>
    <row r="30" spans="2:21" ht="15" customHeight="1" x14ac:dyDescent="0.2">
      <c r="B30" s="163">
        <v>45662</v>
      </c>
      <c r="C30" s="164">
        <v>1966.95</v>
      </c>
      <c r="D30" s="50">
        <f t="shared" si="0"/>
        <v>1.4545454545454639E-2</v>
      </c>
      <c r="F30" s="165">
        <v>45662</v>
      </c>
      <c r="G30" s="164">
        <v>23431.5</v>
      </c>
      <c r="H30" s="50">
        <f t="shared" si="1"/>
        <v>-2.3880690280048689E-2</v>
      </c>
      <c r="M30" s="167"/>
      <c r="N30" s="167" t="s">
        <v>653</v>
      </c>
      <c r="O30" s="167" t="s">
        <v>643</v>
      </c>
      <c r="P30" s="167" t="s">
        <v>654</v>
      </c>
      <c r="Q30" s="167" t="s">
        <v>655</v>
      </c>
      <c r="R30" s="167" t="s">
        <v>656</v>
      </c>
      <c r="S30" s="167" t="s">
        <v>657</v>
      </c>
      <c r="T30" s="167" t="s">
        <v>658</v>
      </c>
      <c r="U30" s="167" t="s">
        <v>659</v>
      </c>
    </row>
    <row r="31" spans="2:21" ht="15" customHeight="1" x14ac:dyDescent="0.2">
      <c r="B31" s="163">
        <v>45669</v>
      </c>
      <c r="C31" s="164">
        <v>1815.45</v>
      </c>
      <c r="D31" s="50">
        <f t="shared" si="0"/>
        <v>-7.7022801799740748E-2</v>
      </c>
      <c r="F31" s="165">
        <v>45669</v>
      </c>
      <c r="G31" s="164">
        <v>23203.200000000001</v>
      </c>
      <c r="H31" s="50">
        <f t="shared" si="1"/>
        <v>-9.7432942833365344E-3</v>
      </c>
      <c r="M31" t="s">
        <v>660</v>
      </c>
      <c r="N31">
        <v>-2.151680393494E-3</v>
      </c>
      <c r="O31">
        <v>3.1326440620915099E-3</v>
      </c>
      <c r="P31">
        <v>-0.68685760362364001</v>
      </c>
      <c r="Q31">
        <v>0.49373109419449401</v>
      </c>
      <c r="R31">
        <v>-8.3652650374176803E-3</v>
      </c>
      <c r="S31">
        <v>4.0619042504296803E-3</v>
      </c>
      <c r="T31">
        <v>-8.3652650374176803E-3</v>
      </c>
      <c r="U31">
        <v>4.0619042504296803E-3</v>
      </c>
    </row>
    <row r="32" spans="2:21" ht="15.75" customHeight="1" x14ac:dyDescent="0.2">
      <c r="B32" s="163">
        <v>45676</v>
      </c>
      <c r="C32" s="164">
        <v>1875.45</v>
      </c>
      <c r="D32" s="50">
        <f t="shared" si="0"/>
        <v>3.3049657109807562E-2</v>
      </c>
      <c r="F32" s="165">
        <v>45676</v>
      </c>
      <c r="G32" s="164">
        <v>23092.2</v>
      </c>
      <c r="H32" s="50">
        <f t="shared" si="1"/>
        <v>-4.7838229209764549E-3</v>
      </c>
      <c r="M32" s="168" t="s">
        <v>661</v>
      </c>
      <c r="N32" s="168">
        <f>O32</f>
        <v>0.72659477675704454</v>
      </c>
      <c r="O32" s="168">
        <f>SLOPE(D11:D114,H11:H114)</f>
        <v>0.72659477675704454</v>
      </c>
      <c r="P32" s="168">
        <v>4.4563680768673404</v>
      </c>
      <c r="Q32" s="168">
        <v>2.1430589822828501E-5</v>
      </c>
      <c r="R32" s="168">
        <v>0.45505350248890802</v>
      </c>
      <c r="S32" s="168">
        <v>1.1850517926541499</v>
      </c>
      <c r="T32" s="168">
        <v>0.45505350248890802</v>
      </c>
      <c r="U32" s="168">
        <v>1.1850517926541499</v>
      </c>
    </row>
    <row r="33" spans="2:8" ht="15" customHeight="1" x14ac:dyDescent="0.2">
      <c r="B33" s="163">
        <v>45683</v>
      </c>
      <c r="C33" s="164">
        <v>1879.8</v>
      </c>
      <c r="D33" s="50">
        <f t="shared" si="0"/>
        <v>2.319443333599791E-3</v>
      </c>
      <c r="F33" s="165">
        <v>45683</v>
      </c>
      <c r="G33" s="164">
        <v>23508.400000000001</v>
      </c>
      <c r="H33" s="50">
        <f t="shared" si="1"/>
        <v>1.8023401841314346E-2</v>
      </c>
    </row>
    <row r="34" spans="2:8" ht="15" customHeight="1" x14ac:dyDescent="0.2">
      <c r="B34" s="163">
        <v>45690</v>
      </c>
      <c r="C34" s="164">
        <v>1903.65</v>
      </c>
      <c r="D34" s="50">
        <f t="shared" si="0"/>
        <v>1.2687519948930914E-2</v>
      </c>
      <c r="F34" s="165">
        <v>45690</v>
      </c>
      <c r="G34" s="164">
        <v>23559.95</v>
      </c>
      <c r="H34" s="50">
        <f t="shared" si="1"/>
        <v>2.1928332000475947E-3</v>
      </c>
    </row>
    <row r="35" spans="2:8" ht="15" customHeight="1" x14ac:dyDescent="0.2">
      <c r="B35" s="163">
        <v>45697</v>
      </c>
      <c r="C35" s="164">
        <v>1856.4</v>
      </c>
      <c r="D35" s="50">
        <f t="shared" si="0"/>
        <v>-2.4820739106453438E-2</v>
      </c>
      <c r="F35" s="165">
        <v>45697</v>
      </c>
      <c r="G35" s="164">
        <v>22929.25</v>
      </c>
      <c r="H35" s="50">
        <f t="shared" si="1"/>
        <v>-2.6770005878620329E-2</v>
      </c>
    </row>
    <row r="36" spans="2:8" ht="15" customHeight="1" x14ac:dyDescent="0.2">
      <c r="B36" s="163">
        <v>45704</v>
      </c>
      <c r="C36" s="164">
        <v>1815</v>
      </c>
      <c r="D36" s="50">
        <f t="shared" si="0"/>
        <v>-2.2301228183581157E-2</v>
      </c>
      <c r="F36" s="165">
        <v>45704</v>
      </c>
      <c r="G36" s="164">
        <v>22795.9</v>
      </c>
      <c r="H36" s="50">
        <f t="shared" si="1"/>
        <v>-5.8157157342695331E-3</v>
      </c>
    </row>
    <row r="37" spans="2:8" ht="15" customHeight="1" x14ac:dyDescent="0.2">
      <c r="B37" s="163">
        <v>45711</v>
      </c>
      <c r="C37" s="164">
        <v>1687.7</v>
      </c>
      <c r="D37" s="50">
        <f t="shared" si="0"/>
        <v>-7.0137741046831903E-2</v>
      </c>
      <c r="F37" s="165">
        <v>45711</v>
      </c>
      <c r="G37" s="164">
        <v>22124.7</v>
      </c>
      <c r="H37" s="50">
        <f t="shared" si="1"/>
        <v>-2.9443891226053842E-2</v>
      </c>
    </row>
    <row r="38" spans="2:8" ht="15" customHeight="1" x14ac:dyDescent="0.2">
      <c r="B38" s="163">
        <v>45718</v>
      </c>
      <c r="C38" s="164">
        <v>1686</v>
      </c>
      <c r="D38" s="50">
        <f t="shared" si="0"/>
        <v>-1.0072880251229543E-3</v>
      </c>
      <c r="F38" s="165">
        <v>45718</v>
      </c>
      <c r="G38" s="164">
        <v>22552.5</v>
      </c>
      <c r="H38" s="50">
        <f t="shared" si="1"/>
        <v>1.9335855401429125E-2</v>
      </c>
    </row>
    <row r="39" spans="2:8" ht="15" customHeight="1" x14ac:dyDescent="0.2">
      <c r="B39" s="163">
        <v>45725</v>
      </c>
      <c r="C39" s="164">
        <v>1579.85</v>
      </c>
      <c r="D39" s="50">
        <f t="shared" si="0"/>
        <v>-6.2959667852906298E-2</v>
      </c>
      <c r="F39" s="165">
        <v>45725</v>
      </c>
      <c r="G39" s="164">
        <v>22397.200000000001</v>
      </c>
      <c r="H39" s="50">
        <f t="shared" si="1"/>
        <v>-6.8861545283227521E-3</v>
      </c>
    </row>
    <row r="40" spans="2:8" ht="15" customHeight="1" x14ac:dyDescent="0.2">
      <c r="B40" s="163">
        <v>45732</v>
      </c>
      <c r="C40" s="164">
        <v>1592.55</v>
      </c>
      <c r="D40" s="50">
        <f t="shared" si="0"/>
        <v>8.0387378548596455E-3</v>
      </c>
      <c r="F40" s="165">
        <v>45732</v>
      </c>
      <c r="G40" s="164">
        <v>23350.400000000001</v>
      </c>
      <c r="H40" s="50">
        <f t="shared" si="1"/>
        <v>4.2558891289982803E-2</v>
      </c>
    </row>
    <row r="41" spans="2:8" ht="15" customHeight="1" x14ac:dyDescent="0.2">
      <c r="B41" s="163">
        <v>45739</v>
      </c>
      <c r="C41" s="164">
        <v>1570.65</v>
      </c>
      <c r="D41" s="50">
        <f t="shared" si="0"/>
        <v>-1.3751530564189429E-2</v>
      </c>
      <c r="F41" s="165">
        <v>45739</v>
      </c>
      <c r="G41" s="164">
        <v>23519.35</v>
      </c>
      <c r="H41" s="50">
        <f t="shared" si="1"/>
        <v>7.2354220912702605E-3</v>
      </c>
    </row>
    <row r="42" spans="2:8" ht="15" customHeight="1" x14ac:dyDescent="0.2">
      <c r="B42" s="163">
        <v>45746</v>
      </c>
      <c r="C42" s="164">
        <v>1451.65</v>
      </c>
      <c r="D42" s="50">
        <f t="shared" si="0"/>
        <v>-7.5764810747142919E-2</v>
      </c>
      <c r="F42" s="165">
        <v>45746</v>
      </c>
      <c r="G42" s="164">
        <v>22904.45</v>
      </c>
      <c r="H42" s="50">
        <f t="shared" si="1"/>
        <v>-2.6144430011883713E-2</v>
      </c>
    </row>
    <row r="43" spans="2:8" ht="15" customHeight="1" x14ac:dyDescent="0.2">
      <c r="B43" s="163">
        <v>45753</v>
      </c>
      <c r="C43" s="164">
        <v>1409.45</v>
      </c>
      <c r="D43" s="50">
        <f t="shared" ref="D43:D74" si="2">C43/C42-1</f>
        <v>-2.9070368201701502E-2</v>
      </c>
      <c r="F43" s="165">
        <v>45753</v>
      </c>
      <c r="G43" s="164">
        <v>22828.55</v>
      </c>
      <c r="H43" s="50">
        <f t="shared" ref="H43:H74" si="3">G43/G42-1</f>
        <v>-3.3137665388167648E-3</v>
      </c>
    </row>
    <row r="44" spans="2:8" ht="15" customHeight="1" x14ac:dyDescent="0.2">
      <c r="B44" s="163">
        <v>45760</v>
      </c>
      <c r="C44" s="164">
        <v>1419.5</v>
      </c>
      <c r="D44" s="50">
        <f t="shared" si="2"/>
        <v>7.1304409521444345E-3</v>
      </c>
      <c r="F44" s="165">
        <v>45760</v>
      </c>
      <c r="G44" s="164">
        <v>23851.65</v>
      </c>
      <c r="H44" s="50">
        <f t="shared" si="3"/>
        <v>4.4816687875489425E-2</v>
      </c>
    </row>
    <row r="45" spans="2:8" ht="15" customHeight="1" x14ac:dyDescent="0.2">
      <c r="B45" s="163">
        <v>45767</v>
      </c>
      <c r="C45" s="164">
        <v>1480.2</v>
      </c>
      <c r="D45" s="50">
        <f t="shared" si="2"/>
        <v>4.2761535752025459E-2</v>
      </c>
      <c r="F45" s="165">
        <v>45767</v>
      </c>
      <c r="G45" s="164">
        <v>24039.35</v>
      </c>
      <c r="H45" s="50">
        <f t="shared" si="3"/>
        <v>7.86947653516612E-3</v>
      </c>
    </row>
    <row r="46" spans="2:8" ht="15" customHeight="1" x14ac:dyDescent="0.2">
      <c r="B46" s="163">
        <v>45774</v>
      </c>
      <c r="C46" s="164">
        <v>1506.8</v>
      </c>
      <c r="D46" s="50">
        <f t="shared" si="2"/>
        <v>1.7970544521010545E-2</v>
      </c>
      <c r="F46" s="165">
        <v>45774</v>
      </c>
      <c r="G46" s="164">
        <v>24346.7</v>
      </c>
      <c r="H46" s="50">
        <f t="shared" si="3"/>
        <v>1.2785287455775673E-2</v>
      </c>
    </row>
    <row r="47" spans="2:8" ht="15" customHeight="1" x14ac:dyDescent="0.2">
      <c r="B47" s="163">
        <v>45781</v>
      </c>
      <c r="C47" s="164">
        <v>1507.6</v>
      </c>
      <c r="D47" s="50">
        <f t="shared" si="2"/>
        <v>5.3092646668440047E-4</v>
      </c>
      <c r="F47" s="165">
        <v>45781</v>
      </c>
      <c r="G47" s="164">
        <v>24008</v>
      </c>
      <c r="H47" s="50">
        <f t="shared" si="3"/>
        <v>-1.391153626569519E-2</v>
      </c>
    </row>
    <row r="48" spans="2:8" ht="15" customHeight="1" x14ac:dyDescent="0.2">
      <c r="B48" s="163">
        <v>45788</v>
      </c>
      <c r="C48" s="164">
        <v>1589.9</v>
      </c>
      <c r="D48" s="50">
        <f t="shared" si="2"/>
        <v>5.4590076943486388E-2</v>
      </c>
      <c r="F48" s="165">
        <v>45788</v>
      </c>
      <c r="G48" s="164">
        <v>25019.8</v>
      </c>
      <c r="H48" s="50">
        <f t="shared" si="3"/>
        <v>4.2144285238253865E-2</v>
      </c>
    </row>
    <row r="49" spans="2:8" ht="15" customHeight="1" x14ac:dyDescent="0.2">
      <c r="B49" s="163">
        <v>45795</v>
      </c>
      <c r="C49" s="164">
        <v>1564.8</v>
      </c>
      <c r="D49" s="50">
        <f t="shared" si="2"/>
        <v>-1.5787156424932447E-2</v>
      </c>
      <c r="F49" s="165">
        <v>45795</v>
      </c>
      <c r="G49" s="164">
        <v>24853.15</v>
      </c>
      <c r="H49" s="50">
        <f t="shared" si="3"/>
        <v>-6.660724706032739E-3</v>
      </c>
    </row>
    <row r="50" spans="2:8" ht="15" customHeight="1" x14ac:dyDescent="0.2">
      <c r="B50" s="163">
        <v>45802</v>
      </c>
      <c r="C50" s="164">
        <v>1562.7</v>
      </c>
      <c r="D50" s="50">
        <f t="shared" si="2"/>
        <v>-1.3420245398771957E-3</v>
      </c>
      <c r="F50" s="165">
        <v>45802</v>
      </c>
      <c r="G50" s="164">
        <v>24750.7</v>
      </c>
      <c r="H50" s="50">
        <f t="shared" si="3"/>
        <v>-4.1222138843567402E-3</v>
      </c>
    </row>
    <row r="51" spans="2:8" ht="15" customHeight="1" x14ac:dyDescent="0.2">
      <c r="B51" s="163">
        <v>45809</v>
      </c>
      <c r="C51" s="164">
        <v>1563.8</v>
      </c>
      <c r="D51" s="50">
        <f t="shared" si="2"/>
        <v>7.0390989953272864E-4</v>
      </c>
      <c r="F51" s="165">
        <v>45809</v>
      </c>
      <c r="G51" s="164">
        <v>25003.05</v>
      </c>
      <c r="H51" s="50">
        <f t="shared" si="3"/>
        <v>1.0195671233540704E-2</v>
      </c>
    </row>
    <row r="52" spans="2:8" ht="15" customHeight="1" x14ac:dyDescent="0.2">
      <c r="B52" s="163">
        <v>45816</v>
      </c>
      <c r="C52" s="164">
        <v>1602</v>
      </c>
      <c r="D52" s="50">
        <f t="shared" si="2"/>
        <v>2.4427676173423674E-2</v>
      </c>
      <c r="F52" s="165">
        <v>45816</v>
      </c>
      <c r="G52" s="164">
        <v>24718.6</v>
      </c>
      <c r="H52" s="50">
        <f t="shared" si="3"/>
        <v>-1.1376612053329516E-2</v>
      </c>
    </row>
    <row r="53" spans="2:8" ht="15" customHeight="1" x14ac:dyDescent="0.2">
      <c r="B53" s="163">
        <v>45823</v>
      </c>
      <c r="C53" s="164">
        <v>1622.9</v>
      </c>
      <c r="D53" s="50">
        <f t="shared" si="2"/>
        <v>1.3046192259675404E-2</v>
      </c>
      <c r="F53" s="165">
        <v>45823</v>
      </c>
      <c r="G53" s="164">
        <v>25112.400000000001</v>
      </c>
      <c r="H53" s="50">
        <f t="shared" si="3"/>
        <v>1.5931322971365791E-2</v>
      </c>
    </row>
    <row r="54" spans="2:8" ht="15" customHeight="1" x14ac:dyDescent="0.2">
      <c r="B54" s="163">
        <v>45830</v>
      </c>
      <c r="C54" s="164">
        <v>1608</v>
      </c>
      <c r="D54" s="50">
        <f t="shared" si="2"/>
        <v>-9.1810955696592922E-3</v>
      </c>
      <c r="F54" s="165">
        <v>45830</v>
      </c>
      <c r="G54" s="164">
        <v>25637.8</v>
      </c>
      <c r="H54" s="50">
        <f t="shared" si="3"/>
        <v>2.092193498032846E-2</v>
      </c>
    </row>
    <row r="55" spans="2:8" ht="15" customHeight="1" x14ac:dyDescent="0.2">
      <c r="B55" s="163">
        <v>45837</v>
      </c>
      <c r="C55" s="164">
        <v>1640.7</v>
      </c>
      <c r="D55" s="50">
        <f t="shared" si="2"/>
        <v>2.0335820895522438E-2</v>
      </c>
      <c r="F55" s="165">
        <v>45837</v>
      </c>
      <c r="G55" s="164">
        <v>25461</v>
      </c>
      <c r="H55" s="50">
        <f t="shared" si="3"/>
        <v>-6.8960675252947023E-3</v>
      </c>
    </row>
    <row r="56" spans="2:8" ht="15" customHeight="1" x14ac:dyDescent="0.2">
      <c r="B56" s="163">
        <v>45844</v>
      </c>
      <c r="C56" s="164">
        <v>1594.9</v>
      </c>
      <c r="D56" s="50">
        <f t="shared" si="2"/>
        <v>-2.7914914365819388E-2</v>
      </c>
      <c r="F56" s="165">
        <v>45844</v>
      </c>
      <c r="G56" s="164">
        <v>25149.85</v>
      </c>
      <c r="H56" s="50">
        <f t="shared" si="3"/>
        <v>-1.2220651192019205E-2</v>
      </c>
    </row>
    <row r="57" spans="2:8" ht="15" customHeight="1" x14ac:dyDescent="0.2">
      <c r="B57" s="163">
        <v>45851</v>
      </c>
      <c r="C57" s="164">
        <v>1586.1</v>
      </c>
      <c r="D57" s="50">
        <f t="shared" si="2"/>
        <v>-5.5175873095493211E-3</v>
      </c>
      <c r="F57" s="165">
        <v>45851</v>
      </c>
      <c r="G57" s="164">
        <v>24968.400000000001</v>
      </c>
      <c r="H57" s="50">
        <f t="shared" si="3"/>
        <v>-7.214754759968578E-3</v>
      </c>
    </row>
    <row r="58" spans="2:8" ht="15" customHeight="1" x14ac:dyDescent="0.2">
      <c r="B58" s="163">
        <v>45858</v>
      </c>
      <c r="C58" s="164">
        <v>1515.7</v>
      </c>
      <c r="D58" s="50">
        <f t="shared" si="2"/>
        <v>-4.4385599899123607E-2</v>
      </c>
      <c r="F58" s="165">
        <v>45858</v>
      </c>
      <c r="G58" s="164">
        <v>24837</v>
      </c>
      <c r="H58" s="50">
        <f t="shared" si="3"/>
        <v>-5.2626519921180615E-3</v>
      </c>
    </row>
    <row r="59" spans="2:8" ht="15" customHeight="1" x14ac:dyDescent="0.2">
      <c r="B59" s="163">
        <v>45865</v>
      </c>
      <c r="C59" s="164">
        <v>1469.6</v>
      </c>
      <c r="D59" s="50">
        <f t="shared" si="2"/>
        <v>-3.041498977370205E-2</v>
      </c>
      <c r="F59" s="165">
        <v>45865</v>
      </c>
      <c r="G59" s="164">
        <v>24565.35</v>
      </c>
      <c r="H59" s="50">
        <f t="shared" si="3"/>
        <v>-1.0937311269477057E-2</v>
      </c>
    </row>
    <row r="60" spans="2:8" ht="15" customHeight="1" x14ac:dyDescent="0.2">
      <c r="B60" s="163">
        <v>45872</v>
      </c>
      <c r="C60" s="164">
        <v>1423.1</v>
      </c>
      <c r="D60" s="50">
        <f t="shared" si="2"/>
        <v>-3.1641262928688074E-2</v>
      </c>
      <c r="F60" s="165">
        <v>45872</v>
      </c>
      <c r="G60" s="164">
        <v>24363.3</v>
      </c>
      <c r="H60" s="50">
        <f t="shared" si="3"/>
        <v>-8.2249998473459263E-3</v>
      </c>
    </row>
    <row r="61" spans="2:8" ht="15" customHeight="1" x14ac:dyDescent="0.2">
      <c r="B61" s="163">
        <v>45879</v>
      </c>
      <c r="C61" s="164">
        <v>1447.7</v>
      </c>
      <c r="D61" s="50">
        <f t="shared" si="2"/>
        <v>1.7286206169629725E-2</v>
      </c>
      <c r="F61" s="165">
        <v>45879</v>
      </c>
      <c r="G61" s="164">
        <v>24631.3</v>
      </c>
      <c r="H61" s="50">
        <f t="shared" si="3"/>
        <v>1.100015186776826E-2</v>
      </c>
    </row>
    <row r="62" spans="2:8" ht="15" customHeight="1" x14ac:dyDescent="0.2">
      <c r="B62" s="163">
        <v>45886</v>
      </c>
      <c r="C62" s="164">
        <v>1487.5</v>
      </c>
      <c r="D62" s="50">
        <f t="shared" si="2"/>
        <v>2.7491883677557505E-2</v>
      </c>
      <c r="F62" s="165">
        <v>45886</v>
      </c>
      <c r="G62" s="164">
        <v>24870.1</v>
      </c>
      <c r="H62" s="50">
        <f t="shared" si="3"/>
        <v>9.6949815884666002E-3</v>
      </c>
    </row>
    <row r="63" spans="2:8" ht="15" customHeight="1" x14ac:dyDescent="0.2">
      <c r="B63" s="163">
        <v>45893</v>
      </c>
      <c r="C63" s="164">
        <v>1469.6</v>
      </c>
      <c r="D63" s="50">
        <f t="shared" si="2"/>
        <v>-1.2033613445378233E-2</v>
      </c>
      <c r="F63" s="165">
        <v>45893</v>
      </c>
      <c r="G63" s="164">
        <v>24426.85</v>
      </c>
      <c r="H63" s="50">
        <f t="shared" si="3"/>
        <v>-1.7822606262138052E-2</v>
      </c>
    </row>
    <row r="64" spans="2:8" ht="15" customHeight="1" x14ac:dyDescent="0.2">
      <c r="B64" s="163">
        <v>45900</v>
      </c>
      <c r="C64" s="164">
        <v>1444.6</v>
      </c>
      <c r="D64" s="50">
        <f t="shared" si="2"/>
        <v>-1.7011431682090405E-2</v>
      </c>
      <c r="F64" s="165">
        <v>45900</v>
      </c>
      <c r="G64" s="164">
        <v>24741</v>
      </c>
      <c r="H64" s="50">
        <f t="shared" si="3"/>
        <v>1.2860847796584585E-2</v>
      </c>
    </row>
    <row r="65" spans="2:8" ht="15" customHeight="1" x14ac:dyDescent="0.2">
      <c r="B65" s="163">
        <v>45907</v>
      </c>
      <c r="C65" s="164">
        <v>1525.6</v>
      </c>
      <c r="D65" s="50">
        <f t="shared" si="2"/>
        <v>5.6070884673958155E-2</v>
      </c>
      <c r="F65" s="165">
        <v>45907</v>
      </c>
      <c r="G65" s="164">
        <v>25114</v>
      </c>
      <c r="H65" s="50">
        <f t="shared" si="3"/>
        <v>1.5076189321369338E-2</v>
      </c>
    </row>
    <row r="66" spans="2:8" ht="15" customHeight="1" x14ac:dyDescent="0.2">
      <c r="B66" s="163">
        <v>45914</v>
      </c>
      <c r="C66" s="164">
        <v>1540.2</v>
      </c>
      <c r="D66" s="50">
        <f t="shared" si="2"/>
        <v>9.570005243838553E-3</v>
      </c>
      <c r="F66" s="165">
        <v>45914</v>
      </c>
      <c r="G66" s="164">
        <v>25327.05</v>
      </c>
      <c r="H66" s="50">
        <f t="shared" si="3"/>
        <v>8.4833160786812467E-3</v>
      </c>
    </row>
    <row r="67" spans="2:8" ht="15" customHeight="1" x14ac:dyDescent="0.2">
      <c r="B67" s="163">
        <v>45921</v>
      </c>
      <c r="C67" s="164">
        <v>1448.9</v>
      </c>
      <c r="D67" s="50">
        <f t="shared" si="2"/>
        <v>-5.9278015842098353E-2</v>
      </c>
      <c r="F67" s="165">
        <v>45921</v>
      </c>
      <c r="G67" s="164">
        <v>24654.7</v>
      </c>
      <c r="H67" s="50">
        <f t="shared" si="3"/>
        <v>-2.6546715863079107E-2</v>
      </c>
    </row>
    <row r="68" spans="2:8" ht="15" customHeight="1" x14ac:dyDescent="0.2">
      <c r="B68" s="163">
        <v>45928</v>
      </c>
      <c r="C68" s="164">
        <v>1446.6</v>
      </c>
      <c r="D68" s="50">
        <f t="shared" si="2"/>
        <v>-1.5874111394852397E-3</v>
      </c>
      <c r="F68" s="165">
        <v>45928</v>
      </c>
      <c r="G68" s="164">
        <v>24894.25</v>
      </c>
      <c r="H68" s="50">
        <f t="shared" si="3"/>
        <v>9.7162001565624934E-3</v>
      </c>
    </row>
    <row r="69" spans="2:8" ht="15" customHeight="1" x14ac:dyDescent="0.2">
      <c r="B69" s="163">
        <v>45935</v>
      </c>
      <c r="C69" s="164">
        <v>1514.9</v>
      </c>
      <c r="D69" s="50">
        <f t="shared" si="2"/>
        <v>4.7214157334439566E-2</v>
      </c>
      <c r="F69" s="165">
        <v>45935</v>
      </c>
      <c r="G69" s="164">
        <v>25285.35</v>
      </c>
      <c r="H69" s="50">
        <f t="shared" si="3"/>
        <v>1.5710455225604214E-2</v>
      </c>
    </row>
    <row r="70" spans="2:8" ht="15" customHeight="1" x14ac:dyDescent="0.2">
      <c r="B70" s="163">
        <v>45942</v>
      </c>
      <c r="C70" s="164">
        <v>1441.1</v>
      </c>
      <c r="D70" s="50">
        <f t="shared" si="2"/>
        <v>-4.8716086870420616E-2</v>
      </c>
      <c r="F70" s="165">
        <v>45942</v>
      </c>
      <c r="G70" s="164">
        <v>25709.85</v>
      </c>
      <c r="H70" s="50">
        <f t="shared" si="3"/>
        <v>1.6788377459675319E-2</v>
      </c>
    </row>
    <row r="71" spans="2:8" ht="15" customHeight="1" x14ac:dyDescent="0.2">
      <c r="B71" s="163">
        <v>45949</v>
      </c>
      <c r="C71" s="164">
        <v>1525.4</v>
      </c>
      <c r="D71" s="50">
        <f t="shared" si="2"/>
        <v>5.8496981472486498E-2</v>
      </c>
      <c r="F71" s="165">
        <v>45949</v>
      </c>
      <c r="G71" s="164">
        <v>25795.15</v>
      </c>
      <c r="H71" s="50">
        <f t="shared" si="3"/>
        <v>3.3177945417808274E-3</v>
      </c>
    </row>
    <row r="72" spans="2:8" ht="15" customHeight="1" x14ac:dyDescent="0.2">
      <c r="B72" s="163">
        <v>45956</v>
      </c>
      <c r="C72" s="164">
        <v>1482.3</v>
      </c>
      <c r="D72" s="50">
        <f t="shared" si="2"/>
        <v>-2.8254883964861754E-2</v>
      </c>
      <c r="F72" s="165">
        <v>45956</v>
      </c>
      <c r="G72" s="164">
        <v>25722.1</v>
      </c>
      <c r="H72" s="50">
        <f t="shared" si="3"/>
        <v>-2.8319277073404203E-3</v>
      </c>
    </row>
    <row r="73" spans="2:8" ht="15" customHeight="1" x14ac:dyDescent="0.2">
      <c r="B73" s="163">
        <v>45963</v>
      </c>
      <c r="C73" s="164">
        <v>1476.8</v>
      </c>
      <c r="D73" s="50">
        <f t="shared" si="2"/>
        <v>-3.7104499763880305E-3</v>
      </c>
      <c r="F73" s="165">
        <v>45963</v>
      </c>
      <c r="G73" s="164">
        <v>25492.3</v>
      </c>
      <c r="H73" s="50">
        <f t="shared" si="3"/>
        <v>-8.9339517379996014E-3</v>
      </c>
    </row>
    <row r="74" spans="2:8" ht="15" customHeight="1" x14ac:dyDescent="0.2">
      <c r="B74" s="163">
        <v>45970</v>
      </c>
      <c r="C74" s="164">
        <v>1502.8</v>
      </c>
      <c r="D74" s="50">
        <f t="shared" si="2"/>
        <v>1.7605633802816989E-2</v>
      </c>
      <c r="F74" s="165">
        <v>45970</v>
      </c>
      <c r="G74" s="164">
        <v>25910.05</v>
      </c>
      <c r="H74" s="50">
        <f t="shared" si="3"/>
        <v>1.6387301263518728E-2</v>
      </c>
    </row>
    <row r="75" spans="2:8" ht="15" customHeight="1" x14ac:dyDescent="0.2">
      <c r="B75" s="163">
        <v>45977</v>
      </c>
      <c r="C75" s="164">
        <v>1545</v>
      </c>
      <c r="D75" s="50">
        <f t="shared" ref="D75:D106" si="4">C75/C74-1</f>
        <v>2.8080915624168146E-2</v>
      </c>
      <c r="F75" s="165">
        <v>45977</v>
      </c>
      <c r="G75" s="164">
        <v>26068.15</v>
      </c>
      <c r="H75" s="50">
        <f t="shared" ref="H75:H106" si="5">G75/G74-1</f>
        <v>6.1018793865701415E-3</v>
      </c>
    </row>
    <row r="76" spans="2:8" ht="15" customHeight="1" x14ac:dyDescent="0.2">
      <c r="B76" s="163">
        <v>45984</v>
      </c>
      <c r="C76" s="164">
        <v>1560.1</v>
      </c>
      <c r="D76" s="50">
        <f t="shared" si="4"/>
        <v>9.7734627831713716E-3</v>
      </c>
      <c r="F76" s="165">
        <v>45984</v>
      </c>
      <c r="G76" s="164">
        <v>26202.95</v>
      </c>
      <c r="H76" s="50">
        <f t="shared" si="5"/>
        <v>5.1710612375637233E-3</v>
      </c>
    </row>
    <row r="77" spans="2:8" ht="15" customHeight="1" x14ac:dyDescent="0.2">
      <c r="B77" s="163">
        <v>45991</v>
      </c>
      <c r="C77" s="164">
        <v>1616.2</v>
      </c>
      <c r="D77" s="50">
        <f t="shared" si="4"/>
        <v>3.5959233382475642E-2</v>
      </c>
      <c r="F77" s="165">
        <v>45991</v>
      </c>
      <c r="G77" s="164">
        <v>26186.45</v>
      </c>
      <c r="H77" s="50">
        <f t="shared" si="5"/>
        <v>-6.297000910202577E-4</v>
      </c>
    </row>
    <row r="78" spans="2:8" ht="15" customHeight="1" x14ac:dyDescent="0.2">
      <c r="B78" s="163">
        <v>45998</v>
      </c>
      <c r="C78" s="164">
        <v>1598.2</v>
      </c>
      <c r="D78" s="50">
        <f t="shared" si="4"/>
        <v>-1.1137235490657149E-2</v>
      </c>
      <c r="F78" s="165">
        <v>45998</v>
      </c>
      <c r="G78" s="164">
        <v>26046.95</v>
      </c>
      <c r="H78" s="50">
        <f t="shared" si="5"/>
        <v>-5.3271825696113995E-3</v>
      </c>
    </row>
    <row r="79" spans="2:8" ht="15" customHeight="1" x14ac:dyDescent="0.2">
      <c r="B79" s="163">
        <v>46005</v>
      </c>
      <c r="C79" s="164">
        <v>1638.7</v>
      </c>
      <c r="D79" s="50">
        <f t="shared" si="4"/>
        <v>2.5341008634714113E-2</v>
      </c>
      <c r="F79" s="165">
        <v>46005</v>
      </c>
      <c r="G79" s="164">
        <v>25966.400000000001</v>
      </c>
      <c r="H79" s="50">
        <f t="shared" si="5"/>
        <v>-3.0924925951022475E-3</v>
      </c>
    </row>
    <row r="80" spans="2:8" ht="15" customHeight="1" x14ac:dyDescent="0.2">
      <c r="B80" s="163">
        <v>46012</v>
      </c>
      <c r="C80" s="164">
        <v>1656.1</v>
      </c>
      <c r="D80" s="50">
        <f t="shared" si="4"/>
        <v>1.0618172941966098E-2</v>
      </c>
      <c r="F80" s="165">
        <v>46012</v>
      </c>
      <c r="G80" s="164">
        <v>26042.3</v>
      </c>
      <c r="H80" s="50">
        <f t="shared" si="5"/>
        <v>2.9230081952060782E-3</v>
      </c>
    </row>
    <row r="81" spans="2:8" ht="15" customHeight="1" x14ac:dyDescent="0.2">
      <c r="B81" s="163">
        <v>46019</v>
      </c>
      <c r="C81" s="164">
        <v>1640.4</v>
      </c>
      <c r="D81" s="50">
        <f t="shared" si="4"/>
        <v>-9.4801038584625408E-3</v>
      </c>
      <c r="F81" s="165">
        <v>46019</v>
      </c>
      <c r="G81" s="164">
        <v>26328.55</v>
      </c>
      <c r="H81" s="50">
        <f t="shared" si="5"/>
        <v>1.0991732681061128E-2</v>
      </c>
    </row>
    <row r="82" spans="2:8" ht="15" customHeight="1" x14ac:dyDescent="0.2">
      <c r="B82" s="163">
        <v>46026</v>
      </c>
      <c r="C82" s="164">
        <v>1614.1</v>
      </c>
      <c r="D82" s="50">
        <f t="shared" si="4"/>
        <v>-1.6032674957327631E-2</v>
      </c>
      <c r="F82" s="165">
        <v>46026</v>
      </c>
      <c r="G82" s="164">
        <v>25683.3</v>
      </c>
      <c r="H82" s="50">
        <f t="shared" si="5"/>
        <v>-2.4507616256877029E-2</v>
      </c>
    </row>
    <row r="83" spans="2:8" ht="15" customHeight="1" x14ac:dyDescent="0.2">
      <c r="B83" s="163">
        <v>46033</v>
      </c>
      <c r="C83" s="164">
        <v>1689.8</v>
      </c>
      <c r="D83" s="50">
        <f t="shared" si="4"/>
        <v>4.6899200793011575E-2</v>
      </c>
      <c r="F83" s="165">
        <v>46033</v>
      </c>
      <c r="G83" s="164">
        <v>25694.35</v>
      </c>
      <c r="H83" s="50">
        <f t="shared" si="5"/>
        <v>4.3024066222008273E-4</v>
      </c>
    </row>
    <row r="84" spans="2:8" ht="15" customHeight="1" x14ac:dyDescent="0.2">
      <c r="B84" s="163">
        <v>46040</v>
      </c>
      <c r="C84" s="164">
        <v>1670.8</v>
      </c>
      <c r="D84" s="50">
        <f t="shared" si="4"/>
        <v>-1.1243934193395644E-2</v>
      </c>
      <c r="F84" s="165">
        <v>46040</v>
      </c>
      <c r="G84" s="164">
        <v>25048.65</v>
      </c>
      <c r="H84" s="50">
        <f t="shared" si="5"/>
        <v>-2.5130038315816394E-2</v>
      </c>
    </row>
    <row r="85" spans="2:8" ht="15" customHeight="1" x14ac:dyDescent="0.2">
      <c r="B85" s="163">
        <v>46047</v>
      </c>
      <c r="C85" s="164">
        <v>1641</v>
      </c>
      <c r="D85" s="50">
        <f t="shared" si="4"/>
        <v>-1.7835767297103122E-2</v>
      </c>
      <c r="F85" s="165">
        <v>46047</v>
      </c>
      <c r="G85" s="164">
        <v>25320.65</v>
      </c>
      <c r="H85" s="50">
        <f t="shared" si="5"/>
        <v>1.0858868641623332E-2</v>
      </c>
    </row>
    <row r="86" spans="2:8" ht="15" customHeight="1" x14ac:dyDescent="0.2">
      <c r="B86" s="163">
        <v>46054</v>
      </c>
      <c r="C86" s="164">
        <v>1507.1</v>
      </c>
      <c r="D86" s="50">
        <f t="shared" si="4"/>
        <v>-8.1596587446678859E-2</v>
      </c>
      <c r="F86" s="165">
        <v>46054</v>
      </c>
      <c r="G86" s="164">
        <v>25693.7</v>
      </c>
      <c r="H86" s="50">
        <f t="shared" si="5"/>
        <v>1.4733034104574605E-2</v>
      </c>
    </row>
    <row r="87" spans="2:8" ht="15" customHeight="1" x14ac:dyDescent="0.2">
      <c r="B87" s="163">
        <v>46061</v>
      </c>
      <c r="C87" s="164">
        <v>1369.1</v>
      </c>
      <c r="D87" s="50">
        <f t="shared" si="4"/>
        <v>-9.1566584831796138E-2</v>
      </c>
      <c r="F87" s="165">
        <v>46061</v>
      </c>
      <c r="G87" s="164">
        <v>25471.1</v>
      </c>
      <c r="H87" s="50">
        <f t="shared" si="5"/>
        <v>-8.6636023616685209E-3</v>
      </c>
    </row>
    <row r="88" spans="2:8" ht="15" customHeight="1" x14ac:dyDescent="0.2">
      <c r="B88" s="163">
        <v>46068</v>
      </c>
      <c r="C88" s="164">
        <v>1353.2</v>
      </c>
      <c r="D88" s="50">
        <f t="shared" si="4"/>
        <v>-1.161346870206692E-2</v>
      </c>
      <c r="F88" s="165">
        <v>46068</v>
      </c>
      <c r="G88" s="164">
        <v>25571.25</v>
      </c>
      <c r="H88" s="50">
        <f t="shared" si="5"/>
        <v>3.9319071418195684E-3</v>
      </c>
    </row>
    <row r="89" spans="2:8" ht="15" customHeight="1" x14ac:dyDescent="0.2">
      <c r="B89" s="163">
        <v>46075</v>
      </c>
      <c r="C89" s="164">
        <v>1300.0999999999999</v>
      </c>
      <c r="D89" s="50">
        <f t="shared" si="4"/>
        <v>-3.9240319243275312E-2</v>
      </c>
      <c r="F89" s="165">
        <v>46075</v>
      </c>
      <c r="G89" s="164">
        <v>25178.65</v>
      </c>
      <c r="H89" s="50">
        <f t="shared" si="5"/>
        <v>-1.5353179840641329E-2</v>
      </c>
    </row>
    <row r="90" spans="2:8" ht="15" customHeight="1" x14ac:dyDescent="0.2">
      <c r="B90" s="163">
        <v>46082</v>
      </c>
      <c r="C90" s="164">
        <v>1308.4000000000001</v>
      </c>
      <c r="D90" s="50">
        <f t="shared" si="4"/>
        <v>6.3841242981310664E-3</v>
      </c>
      <c r="F90" s="165">
        <v>46082</v>
      </c>
      <c r="G90" s="164">
        <v>24450.45</v>
      </c>
      <c r="H90" s="50">
        <f t="shared" si="5"/>
        <v>-2.892132818876314E-2</v>
      </c>
    </row>
    <row r="91" spans="2:8" ht="15" customHeight="1" x14ac:dyDescent="0.2">
      <c r="B91" s="163">
        <v>46089</v>
      </c>
      <c r="C91" s="164">
        <v>1248.3</v>
      </c>
      <c r="D91" s="50">
        <f t="shared" si="4"/>
        <v>-4.5933965148272748E-2</v>
      </c>
      <c r="F91" s="165">
        <v>46089</v>
      </c>
      <c r="G91" s="164">
        <v>23151.1</v>
      </c>
      <c r="H91" s="50">
        <f t="shared" si="5"/>
        <v>-5.3142171207482991E-2</v>
      </c>
    </row>
    <row r="92" spans="2:8" ht="15" customHeight="1" x14ac:dyDescent="0.2">
      <c r="B92" s="163">
        <v>46096</v>
      </c>
      <c r="C92" s="164">
        <v>1255.9000000000001</v>
      </c>
      <c r="D92" s="50">
        <f t="shared" si="4"/>
        <v>6.0882800608828003E-3</v>
      </c>
      <c r="F92" s="165">
        <v>46096</v>
      </c>
      <c r="G92" s="164">
        <v>23114.5</v>
      </c>
      <c r="H92" s="50">
        <f t="shared" si="5"/>
        <v>-1.5809184012853805E-3</v>
      </c>
    </row>
    <row r="93" spans="2:8" ht="15" customHeight="1" x14ac:dyDescent="0.2">
      <c r="B93" s="163">
        <v>46103</v>
      </c>
      <c r="C93" s="164">
        <v>1269.7</v>
      </c>
      <c r="D93" s="50">
        <f t="shared" si="4"/>
        <v>1.098813599808901E-2</v>
      </c>
      <c r="F93" s="165">
        <v>46103</v>
      </c>
      <c r="G93" s="164">
        <v>22819.599999999999</v>
      </c>
      <c r="H93" s="50">
        <f t="shared" si="5"/>
        <v>-1.275822535637805E-2</v>
      </c>
    </row>
    <row r="94" spans="2:8" ht="15" customHeight="1" x14ac:dyDescent="0.2">
      <c r="B94" s="163">
        <v>46110</v>
      </c>
      <c r="C94" s="164">
        <v>1300.8</v>
      </c>
      <c r="D94" s="50">
        <f t="shared" si="4"/>
        <v>2.4493974954713726E-2</v>
      </c>
      <c r="F94" s="165">
        <v>46110</v>
      </c>
      <c r="G94" s="164">
        <v>22713.1</v>
      </c>
      <c r="H94" s="50">
        <f t="shared" si="5"/>
        <v>-4.6670406142088616E-3</v>
      </c>
    </row>
    <row r="95" spans="2:8" ht="15" customHeight="1" x14ac:dyDescent="0.2">
      <c r="B95" s="163">
        <v>46117</v>
      </c>
      <c r="C95" s="164">
        <v>1292.5</v>
      </c>
      <c r="D95" s="50">
        <f t="shared" si="4"/>
        <v>-6.3806888068880241E-3</v>
      </c>
      <c r="F95" s="165">
        <v>46117</v>
      </c>
      <c r="G95" s="164">
        <v>24050.6</v>
      </c>
      <c r="H95" s="50">
        <f t="shared" si="5"/>
        <v>5.8886721759689342E-2</v>
      </c>
    </row>
    <row r="96" spans="2:8" ht="15" customHeight="1" x14ac:dyDescent="0.2">
      <c r="B96" s="163">
        <v>46124</v>
      </c>
      <c r="C96" s="164">
        <v>1318.7</v>
      </c>
      <c r="D96" s="50">
        <f t="shared" si="4"/>
        <v>2.0270793036750501E-2</v>
      </c>
      <c r="F96" s="165">
        <v>46124</v>
      </c>
      <c r="G96" s="164">
        <v>24353.55</v>
      </c>
      <c r="H96" s="50">
        <f t="shared" si="5"/>
        <v>1.2596359342386565E-2</v>
      </c>
    </row>
    <row r="97" spans="2:8" ht="15" customHeight="1" x14ac:dyDescent="0.2">
      <c r="B97" s="163">
        <v>46131</v>
      </c>
      <c r="C97" s="164">
        <v>1154.5999999999999</v>
      </c>
      <c r="D97" s="50">
        <f t="shared" si="4"/>
        <v>-0.12444073708955805</v>
      </c>
      <c r="F97" s="165">
        <v>46131</v>
      </c>
      <c r="G97" s="164">
        <v>23897.95</v>
      </c>
      <c r="H97" s="50">
        <f t="shared" si="5"/>
        <v>-1.8707744866764742E-2</v>
      </c>
    </row>
    <row r="98" spans="2:8" ht="15" customHeight="1" x14ac:dyDescent="0.2">
      <c r="B98" s="163">
        <v>46138</v>
      </c>
      <c r="C98" s="164">
        <v>1181.8</v>
      </c>
      <c r="D98" s="50">
        <f t="shared" si="4"/>
        <v>2.3557942144465605E-2</v>
      </c>
      <c r="F98" s="165">
        <v>46138</v>
      </c>
      <c r="G98" s="164">
        <v>23997.55</v>
      </c>
      <c r="H98" s="50">
        <f t="shared" si="5"/>
        <v>4.167721499124255E-3</v>
      </c>
    </row>
    <row r="99" spans="2:8" ht="15" customHeight="1" x14ac:dyDescent="0.2">
      <c r="B99" s="163">
        <v>46145</v>
      </c>
      <c r="C99" s="164">
        <v>1179.2</v>
      </c>
      <c r="D99" s="50">
        <f t="shared" si="4"/>
        <v>-2.2000338466744429E-3</v>
      </c>
      <c r="F99" s="165">
        <v>46145</v>
      </c>
      <c r="G99" s="164">
        <v>24176.15</v>
      </c>
      <c r="H99" s="50">
        <f t="shared" si="5"/>
        <v>7.4424264143633234E-3</v>
      </c>
    </row>
    <row r="100" spans="2:8" ht="15" customHeight="1" x14ac:dyDescent="0.2">
      <c r="B100" s="163">
        <v>46152</v>
      </c>
      <c r="C100" s="164">
        <v>1119</v>
      </c>
      <c r="D100" s="50">
        <f t="shared" si="4"/>
        <v>-5.1051560379918648E-2</v>
      </c>
      <c r="F100" s="165">
        <v>46152</v>
      </c>
      <c r="G100" s="164">
        <v>23643.5</v>
      </c>
      <c r="H100" s="50">
        <f t="shared" si="5"/>
        <v>-2.2032043977225579E-2</v>
      </c>
    </row>
    <row r="101" spans="2:8" ht="15" customHeight="1" x14ac:dyDescent="0.2">
      <c r="B101" s="163">
        <v>46159</v>
      </c>
      <c r="C101" s="164">
        <v>1174.5</v>
      </c>
      <c r="D101" s="50">
        <f t="shared" si="4"/>
        <v>4.959785522788196E-2</v>
      </c>
      <c r="F101" s="165">
        <v>46159</v>
      </c>
      <c r="G101" s="164">
        <v>23719.3</v>
      </c>
      <c r="H101" s="50">
        <f t="shared" si="5"/>
        <v>3.2059551250871454E-3</v>
      </c>
    </row>
    <row r="102" spans="2:8" ht="15" customHeight="1" x14ac:dyDescent="0.2">
      <c r="B102" s="163">
        <v>46166</v>
      </c>
      <c r="C102" s="164">
        <v>1160.9000000000001</v>
      </c>
      <c r="D102" s="50">
        <f t="shared" si="4"/>
        <v>-1.1579395487441357E-2</v>
      </c>
      <c r="F102" s="165">
        <v>46166</v>
      </c>
      <c r="G102" s="164">
        <v>23547.75</v>
      </c>
      <c r="H102" s="50">
        <f t="shared" si="5"/>
        <v>-7.2325068615008981E-3</v>
      </c>
    </row>
    <row r="103" spans="2:8" ht="15" customHeight="1" x14ac:dyDescent="0.2">
      <c r="B103" s="163">
        <v>46173</v>
      </c>
      <c r="C103" s="164">
        <v>1197.5</v>
      </c>
      <c r="D103" s="50">
        <f t="shared" si="4"/>
        <v>3.1527263330174859E-2</v>
      </c>
      <c r="F103" s="165">
        <v>46173</v>
      </c>
      <c r="G103" s="164">
        <v>23366.7</v>
      </c>
      <c r="H103" s="50">
        <f t="shared" si="5"/>
        <v>-7.6886326719113329E-3</v>
      </c>
    </row>
    <row r="104" spans="2:8" ht="15" customHeight="1" x14ac:dyDescent="0.2">
      <c r="B104" s="163">
        <v>46180</v>
      </c>
      <c r="C104" s="164">
        <v>1116.4000000000001</v>
      </c>
      <c r="D104" s="50">
        <f t="shared" si="4"/>
        <v>-6.7724425887265016E-2</v>
      </c>
      <c r="F104" s="165">
        <v>46180</v>
      </c>
      <c r="G104" s="164">
        <v>23622.9</v>
      </c>
      <c r="H104" s="50">
        <f t="shared" si="5"/>
        <v>1.0964321020940027E-2</v>
      </c>
    </row>
    <row r="105" spans="2:8" ht="15" customHeight="1" x14ac:dyDescent="0.2">
      <c r="B105" s="163">
        <v>46187</v>
      </c>
      <c r="C105" s="164">
        <v>1051.4000000000001</v>
      </c>
      <c r="D105" s="50">
        <f t="shared" si="4"/>
        <v>-5.8222859190254383E-2</v>
      </c>
      <c r="F105" s="165">
        <v>46187</v>
      </c>
      <c r="G105" s="164">
        <v>24013.1</v>
      </c>
      <c r="H105" s="50">
        <f t="shared" si="5"/>
        <v>1.6517870371546062E-2</v>
      </c>
    </row>
    <row r="106" spans="2:8" ht="15" customHeight="1" x14ac:dyDescent="0.2">
      <c r="B106" s="163">
        <v>46194</v>
      </c>
      <c r="C106" s="164">
        <v>1041.2</v>
      </c>
      <c r="D106" s="50">
        <f t="shared" si="4"/>
        <v>-9.7013505801788469E-3</v>
      </c>
      <c r="F106" s="165">
        <v>46194</v>
      </c>
      <c r="G106" s="164">
        <v>24056</v>
      </c>
      <c r="H106" s="50">
        <f t="shared" si="5"/>
        <v>1.7865248551833801E-3</v>
      </c>
    </row>
    <row r="107" spans="2:8" ht="15" customHeight="1" x14ac:dyDescent="0.2">
      <c r="B107" s="163">
        <v>46201</v>
      </c>
      <c r="C107" s="164">
        <v>1047.2</v>
      </c>
      <c r="D107" s="50">
        <f t="shared" ref="D107:D138" si="6">C107/C106-1</f>
        <v>5.7625816365731719E-3</v>
      </c>
      <c r="F107" s="165">
        <v>46201</v>
      </c>
      <c r="G107" s="164">
        <v>24270.85</v>
      </c>
      <c r="H107" s="50">
        <f t="shared" ref="H107:H138" si="7">G107/G106-1</f>
        <v>8.9312437645492349E-3</v>
      </c>
    </row>
    <row r="108" spans="2:8" ht="15" customHeight="1" x14ac:dyDescent="0.2">
      <c r="B108" s="163">
        <v>46208</v>
      </c>
      <c r="C108" s="164">
        <v>1068</v>
      </c>
      <c r="D108" s="50">
        <f t="shared" si="6"/>
        <v>1.9862490450725634E-2</v>
      </c>
      <c r="F108" s="165">
        <v>46208</v>
      </c>
      <c r="G108" s="164">
        <v>24206.9</v>
      </c>
      <c r="H108" s="50">
        <f t="shared" si="7"/>
        <v>-2.6348479760699428E-3</v>
      </c>
    </row>
    <row r="109" spans="2:8" ht="15" customHeight="1" x14ac:dyDescent="0.2">
      <c r="B109" s="163">
        <v>46215</v>
      </c>
      <c r="C109" s="164">
        <v>1096.5</v>
      </c>
      <c r="D109" s="50">
        <f t="shared" si="6"/>
        <v>2.6685393258427004E-2</v>
      </c>
      <c r="F109" s="165">
        <v>46215</v>
      </c>
      <c r="G109" s="164">
        <v>24334.3</v>
      </c>
      <c r="H109" s="50">
        <f t="shared" si="7"/>
        <v>5.262962213253175E-3</v>
      </c>
    </row>
    <row r="110" spans="2:8" ht="15" customHeight="1" x14ac:dyDescent="0.2">
      <c r="B110" s="163">
        <v>46222</v>
      </c>
      <c r="C110" s="164">
        <v>1040.9000000000001</v>
      </c>
      <c r="D110" s="50">
        <f t="shared" si="6"/>
        <v>-5.0706794345645179E-2</v>
      </c>
      <c r="F110" s="165">
        <v>46222</v>
      </c>
      <c r="G110" s="164">
        <v>23767.45</v>
      </c>
      <c r="H110" s="50">
        <f t="shared" si="7"/>
        <v>-2.3294280090242925E-2</v>
      </c>
    </row>
    <row r="111" spans="2:8" ht="15" customHeight="1" x14ac:dyDescent="0.2">
      <c r="B111" s="163">
        <v>46229</v>
      </c>
      <c r="C111" s="164">
        <v>1130.0999999999999</v>
      </c>
      <c r="D111" s="50">
        <f t="shared" si="6"/>
        <v>8.5695071572677417E-2</v>
      </c>
      <c r="F111" s="165">
        <v>46229</v>
      </c>
      <c r="G111" s="164">
        <v>24383.599999999999</v>
      </c>
      <c r="H111" s="50">
        <f t="shared" si="7"/>
        <v>2.5924110495656683E-2</v>
      </c>
    </row>
    <row r="112" spans="2:8" ht="15" customHeight="1" x14ac:dyDescent="0.2">
      <c r="B112" s="163">
        <v>46236</v>
      </c>
      <c r="C112" s="164">
        <v>1175.0999999999999</v>
      </c>
      <c r="D112" s="50">
        <f t="shared" si="6"/>
        <v>3.981948500132737E-2</v>
      </c>
      <c r="F112" s="165">
        <v>46236</v>
      </c>
      <c r="G112" s="164">
        <v>24570.65</v>
      </c>
      <c r="H112" s="50">
        <f t="shared" si="7"/>
        <v>7.6711396184321323E-3</v>
      </c>
    </row>
    <row r="113" spans="2:8" ht="15" customHeight="1" x14ac:dyDescent="0.2">
      <c r="B113" s="163">
        <v>46243</v>
      </c>
      <c r="C113" s="164">
        <v>1169.2</v>
      </c>
      <c r="D113" s="50">
        <f t="shared" si="6"/>
        <v>-5.0208492894220358E-3</v>
      </c>
      <c r="F113" s="165">
        <v>46243</v>
      </c>
      <c r="G113" s="164">
        <v>24366</v>
      </c>
      <c r="H113" s="50">
        <f t="shared" si="7"/>
        <v>-8.3290429842108882E-3</v>
      </c>
    </row>
    <row r="114" spans="2:8" ht="15" customHeight="1" x14ac:dyDescent="0.2">
      <c r="B114" s="163">
        <v>46250</v>
      </c>
      <c r="C114" s="164">
        <v>1121</v>
      </c>
      <c r="D114" s="50">
        <f t="shared" si="6"/>
        <v>-4.1224769072870426E-2</v>
      </c>
      <c r="F114" s="165">
        <v>46250</v>
      </c>
      <c r="G114" s="164">
        <v>24252</v>
      </c>
      <c r="H114" s="50">
        <f t="shared" si="7"/>
        <v>-4.6786505786752253E-3</v>
      </c>
    </row>
  </sheetData>
  <autoFilter ref="B9:D114" xr:uid="{00000000-0009-0000-0000-000017000000}"/>
  <mergeCells count="5">
    <mergeCell ref="B5:C5"/>
    <mergeCell ref="B7:D7"/>
    <mergeCell ref="F7:H7"/>
    <mergeCell ref="J7:K7"/>
    <mergeCell ref="M17:N17"/>
  </mergeCells>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030A0"/>
  </sheetPr>
  <dimension ref="B5:U177"/>
  <sheetViews>
    <sheetView topLeftCell="H92" zoomScaleNormal="100" workbookViewId="0">
      <selection activeCell="X89" sqref="X89"/>
    </sheetView>
  </sheetViews>
  <sheetFormatPr baseColWidth="10" defaultColWidth="10.6640625" defaultRowHeight="15" outlineLevelRow="1" x14ac:dyDescent="0.2"/>
  <cols>
    <col min="1" max="1" width="2.33203125" customWidth="1"/>
    <col min="2" max="3" width="18.33203125" customWidth="1"/>
    <col min="4" max="4" width="20.1640625" customWidth="1"/>
    <col min="7" max="7" width="14" customWidth="1"/>
    <col min="13" max="13" width="15.6640625" customWidth="1"/>
    <col min="14" max="14" width="15.1640625" customWidth="1"/>
    <col min="19" max="19" width="16.33203125" customWidth="1"/>
  </cols>
  <sheetData>
    <row r="5" spans="2:21" ht="15" customHeight="1" x14ac:dyDescent="0.2">
      <c r="B5" s="3" t="s">
        <v>662</v>
      </c>
      <c r="C5" s="3"/>
      <c r="D5" s="3"/>
    </row>
    <row r="7" spans="2:21" ht="15" customHeight="1" x14ac:dyDescent="0.2">
      <c r="B7" s="169"/>
      <c r="C7" s="169"/>
      <c r="D7" s="279" t="s">
        <v>663</v>
      </c>
      <c r="E7" s="279"/>
      <c r="G7" s="281" t="s">
        <v>664</v>
      </c>
      <c r="H7" s="281"/>
      <c r="J7" s="281" t="s">
        <v>665</v>
      </c>
      <c r="K7" s="281"/>
      <c r="M7" s="281" t="s">
        <v>666</v>
      </c>
      <c r="N7" s="281"/>
      <c r="P7" s="281" t="s">
        <v>667</v>
      </c>
      <c r="Q7" s="281"/>
      <c r="S7" s="279" t="s">
        <v>627</v>
      </c>
      <c r="T7" s="279"/>
      <c r="U7" s="279"/>
    </row>
    <row r="8" spans="2:21" ht="15" customHeight="1" x14ac:dyDescent="0.2">
      <c r="B8" s="170" t="s">
        <v>630</v>
      </c>
      <c r="C8" s="170"/>
      <c r="D8" s="151" t="s">
        <v>263</v>
      </c>
      <c r="E8" s="151" t="s">
        <v>631</v>
      </c>
      <c r="F8" s="151"/>
      <c r="G8" s="151" t="s">
        <v>263</v>
      </c>
      <c r="H8" s="151" t="s">
        <v>631</v>
      </c>
      <c r="I8" s="151"/>
      <c r="J8" s="151" t="s">
        <v>263</v>
      </c>
      <c r="K8" s="151" t="s">
        <v>631</v>
      </c>
      <c r="L8" s="151"/>
      <c r="M8" s="151" t="s">
        <v>263</v>
      </c>
      <c r="N8" s="151" t="s">
        <v>631</v>
      </c>
      <c r="O8" s="151"/>
      <c r="P8" s="151" t="s">
        <v>263</v>
      </c>
      <c r="Q8" s="151" t="s">
        <v>631</v>
      </c>
      <c r="R8" s="151"/>
      <c r="S8" s="151" t="s">
        <v>630</v>
      </c>
      <c r="T8" s="156" t="s">
        <v>632</v>
      </c>
      <c r="U8" s="156" t="s">
        <v>631</v>
      </c>
    </row>
    <row r="9" spans="2:21" ht="15" customHeight="1" x14ac:dyDescent="0.2">
      <c r="B9" s="171"/>
      <c r="C9" s="171"/>
      <c r="D9" s="54"/>
      <c r="E9" s="54"/>
      <c r="F9" s="54"/>
      <c r="G9" s="54"/>
      <c r="H9" s="54"/>
      <c r="I9" s="54"/>
      <c r="J9" s="54"/>
      <c r="K9" s="54"/>
      <c r="L9" s="54"/>
      <c r="M9" s="54"/>
      <c r="N9" s="54"/>
      <c r="O9" s="54"/>
      <c r="P9" s="54"/>
      <c r="Q9" s="54"/>
      <c r="S9" s="54"/>
      <c r="T9" s="160"/>
      <c r="U9" s="160"/>
    </row>
    <row r="10" spans="2:21" ht="15" customHeight="1" x14ac:dyDescent="0.2">
      <c r="B10" s="163">
        <v>45522</v>
      </c>
      <c r="C10" s="172"/>
      <c r="D10" s="164">
        <v>4393.8599999999997</v>
      </c>
      <c r="G10" s="164">
        <v>1655.89</v>
      </c>
      <c r="J10">
        <v>256.2</v>
      </c>
      <c r="M10" s="164">
        <v>1598.4</v>
      </c>
      <c r="P10" s="164">
        <v>5641.6</v>
      </c>
      <c r="S10" s="172">
        <v>45522</v>
      </c>
      <c r="T10" s="164">
        <v>24823.15</v>
      </c>
      <c r="U10" s="50"/>
    </row>
    <row r="11" spans="2:21" ht="15" customHeight="1" x14ac:dyDescent="0.2">
      <c r="B11" s="163">
        <v>45529</v>
      </c>
      <c r="C11" s="172"/>
      <c r="D11" s="164">
        <v>4482.3</v>
      </c>
      <c r="E11" s="50">
        <f t="shared" ref="E11:E42" si="0">D11/D10-1</f>
        <v>2.0128087831656094E-2</v>
      </c>
      <c r="G11" s="164">
        <v>1747.38</v>
      </c>
      <c r="H11" s="50">
        <f t="shared" ref="H11:H42" si="1">G11/G10-1</f>
        <v>5.5251254612323386E-2</v>
      </c>
      <c r="J11">
        <v>269.2</v>
      </c>
      <c r="K11" s="50">
        <f t="shared" ref="K11:K42" si="2">J11/J10-1</f>
        <v>5.0741608118657355E-2</v>
      </c>
      <c r="M11" s="164">
        <v>1636.5</v>
      </c>
      <c r="N11" s="50">
        <f t="shared" ref="N11:N42" si="3">M11/M10-1</f>
        <v>2.3836336336336306E-2</v>
      </c>
      <c r="P11" s="164">
        <v>6156.05</v>
      </c>
      <c r="Q11" s="50">
        <f t="shared" ref="Q11:Q42" si="4">P11/P10-1</f>
        <v>9.118866988088481E-2</v>
      </c>
      <c r="S11" s="172">
        <v>45529</v>
      </c>
      <c r="T11" s="164">
        <v>25235.9</v>
      </c>
      <c r="U11" s="50">
        <f t="shared" ref="U11:U42" si="5">T11/T10-1</f>
        <v>1.6627623810837822E-2</v>
      </c>
    </row>
    <row r="12" spans="2:21" ht="15" customHeight="1" x14ac:dyDescent="0.2">
      <c r="B12" s="163">
        <v>45536</v>
      </c>
      <c r="C12" s="172"/>
      <c r="D12" s="164">
        <v>4386.82</v>
      </c>
      <c r="E12" s="50">
        <f t="shared" si="0"/>
        <v>-2.1301563929232881E-2</v>
      </c>
      <c r="G12" s="164">
        <v>1750.22</v>
      </c>
      <c r="H12" s="50">
        <f t="shared" si="1"/>
        <v>1.6252904348224018E-3</v>
      </c>
      <c r="J12">
        <v>260.3</v>
      </c>
      <c r="K12" s="50">
        <f t="shared" si="2"/>
        <v>-3.3060921248142527E-2</v>
      </c>
      <c r="M12" s="164">
        <v>1623.25</v>
      </c>
      <c r="N12" s="50">
        <f t="shared" si="3"/>
        <v>-8.0965475099297191E-3</v>
      </c>
      <c r="P12" s="164">
        <v>6165.4</v>
      </c>
      <c r="Q12" s="50">
        <f t="shared" si="4"/>
        <v>1.518831068623383E-3</v>
      </c>
      <c r="S12" s="172">
        <v>45536</v>
      </c>
      <c r="T12" s="164">
        <v>24852.15</v>
      </c>
      <c r="U12" s="50">
        <f t="shared" si="5"/>
        <v>-1.5206511358818231E-2</v>
      </c>
    </row>
    <row r="13" spans="2:21" ht="15" customHeight="1" x14ac:dyDescent="0.2">
      <c r="B13" s="163">
        <v>45543</v>
      </c>
      <c r="C13" s="172"/>
      <c r="D13" s="164">
        <v>4451.6400000000003</v>
      </c>
      <c r="E13" s="50">
        <f t="shared" si="0"/>
        <v>1.4776079255588437E-2</v>
      </c>
      <c r="G13" s="164">
        <v>1806.73</v>
      </c>
      <c r="H13" s="50">
        <f t="shared" si="1"/>
        <v>3.2287369587823189E-2</v>
      </c>
      <c r="J13">
        <v>275.3</v>
      </c>
      <c r="K13" s="50">
        <f t="shared" si="2"/>
        <v>5.7625816365731941E-2</v>
      </c>
      <c r="M13" s="164">
        <v>1656.05</v>
      </c>
      <c r="N13" s="50">
        <f t="shared" si="3"/>
        <v>2.0206376097335665E-2</v>
      </c>
      <c r="P13" s="164">
        <v>6416.2</v>
      </c>
      <c r="Q13" s="50">
        <f t="shared" si="4"/>
        <v>4.0678625879910557E-2</v>
      </c>
      <c r="S13" s="172">
        <v>45543</v>
      </c>
      <c r="T13" s="164">
        <v>25356.5</v>
      </c>
      <c r="U13" s="50">
        <f t="shared" si="5"/>
        <v>2.0294018827344829E-2</v>
      </c>
    </row>
    <row r="14" spans="2:21" ht="15" customHeight="1" x14ac:dyDescent="0.2">
      <c r="B14" s="163">
        <v>45550</v>
      </c>
      <c r="C14" s="172"/>
      <c r="D14" s="164">
        <v>4217.67</v>
      </c>
      <c r="E14" s="50">
        <f t="shared" si="0"/>
        <v>-5.2558158341644901E-2</v>
      </c>
      <c r="G14" s="164">
        <v>1754.16</v>
      </c>
      <c r="H14" s="50">
        <f t="shared" si="1"/>
        <v>-2.909676598052835E-2</v>
      </c>
      <c r="J14">
        <v>269.55</v>
      </c>
      <c r="K14" s="50">
        <f t="shared" si="2"/>
        <v>-2.0886305848165643E-2</v>
      </c>
      <c r="M14" s="164">
        <v>1622.05</v>
      </c>
      <c r="N14" s="50">
        <f t="shared" si="3"/>
        <v>-2.0530781075450588E-2</v>
      </c>
      <c r="P14" s="164">
        <v>6373.1</v>
      </c>
      <c r="Q14" s="50">
        <f t="shared" si="4"/>
        <v>-6.7173716530032346E-3</v>
      </c>
      <c r="S14" s="172">
        <v>45550</v>
      </c>
      <c r="T14" s="164">
        <v>25790.95</v>
      </c>
      <c r="U14" s="50">
        <f t="shared" si="5"/>
        <v>1.7133673811448702E-2</v>
      </c>
    </row>
    <row r="15" spans="2:21" ht="15" customHeight="1" x14ac:dyDescent="0.2">
      <c r="B15" s="163">
        <v>45557</v>
      </c>
      <c r="C15" s="172"/>
      <c r="D15" s="164">
        <v>4241.09</v>
      </c>
      <c r="E15" s="50">
        <f t="shared" si="0"/>
        <v>5.5528289316140178E-3</v>
      </c>
      <c r="G15" s="164">
        <v>1802.34</v>
      </c>
      <c r="H15" s="50">
        <f t="shared" si="1"/>
        <v>2.7466137638527677E-2</v>
      </c>
      <c r="J15">
        <v>270.89999999999998</v>
      </c>
      <c r="K15" s="50">
        <f t="shared" si="2"/>
        <v>5.008347245408995E-3</v>
      </c>
      <c r="M15" s="164">
        <v>1609.25</v>
      </c>
      <c r="N15" s="50">
        <f t="shared" si="3"/>
        <v>-7.8912487284609201E-3</v>
      </c>
      <c r="P15" s="164">
        <v>6136.1</v>
      </c>
      <c r="Q15" s="50">
        <f t="shared" si="4"/>
        <v>-3.7187553937644169E-2</v>
      </c>
      <c r="S15" s="172">
        <v>45557</v>
      </c>
      <c r="T15" s="164">
        <v>26178.95</v>
      </c>
      <c r="U15" s="50">
        <f t="shared" si="5"/>
        <v>1.5044036764834123E-2</v>
      </c>
    </row>
    <row r="16" spans="2:21" ht="15" customHeight="1" x14ac:dyDescent="0.2">
      <c r="B16" s="163">
        <v>45564</v>
      </c>
      <c r="C16" s="172"/>
      <c r="D16" s="164">
        <v>4185.53</v>
      </c>
      <c r="E16" s="50">
        <f t="shared" si="0"/>
        <v>-1.310040579190741E-2</v>
      </c>
      <c r="G16" s="164">
        <v>1770.65</v>
      </c>
      <c r="H16" s="50">
        <f t="shared" si="1"/>
        <v>-1.7582698048092982E-2</v>
      </c>
      <c r="J16">
        <v>266.77</v>
      </c>
      <c r="K16" s="50">
        <f t="shared" si="2"/>
        <v>-1.5245478036175708E-2</v>
      </c>
      <c r="M16" s="164">
        <v>1616.45</v>
      </c>
      <c r="N16" s="50">
        <f t="shared" si="3"/>
        <v>4.4741339133136382E-3</v>
      </c>
      <c r="P16" s="164">
        <v>6114.1</v>
      </c>
      <c r="Q16" s="50">
        <f t="shared" si="4"/>
        <v>-3.5853392219813429E-3</v>
      </c>
      <c r="S16" s="172">
        <v>45564</v>
      </c>
      <c r="T16" s="164">
        <v>25014.6</v>
      </c>
      <c r="U16" s="50">
        <f t="shared" si="5"/>
        <v>-4.4476573735768743E-2</v>
      </c>
    </row>
    <row r="17" spans="2:21" ht="15" customHeight="1" x14ac:dyDescent="0.2">
      <c r="B17" s="163">
        <v>45571</v>
      </c>
      <c r="C17" s="172"/>
      <c r="D17" s="164">
        <v>4084.09</v>
      </c>
      <c r="E17" s="50">
        <f t="shared" si="0"/>
        <v>-2.4235879327110244E-2</v>
      </c>
      <c r="G17" s="164">
        <v>1833.49</v>
      </c>
      <c r="H17" s="50">
        <f t="shared" si="1"/>
        <v>3.5489791884336208E-2</v>
      </c>
      <c r="J17">
        <v>264.14999999999998</v>
      </c>
      <c r="K17" s="50">
        <f t="shared" si="2"/>
        <v>-9.8211942872137303E-3</v>
      </c>
      <c r="M17" s="164">
        <v>1647.05</v>
      </c>
      <c r="N17" s="50">
        <f t="shared" si="3"/>
        <v>1.8930372111726212E-2</v>
      </c>
      <c r="P17" s="164">
        <v>6410.95</v>
      </c>
      <c r="Q17" s="50">
        <f t="shared" si="4"/>
        <v>4.8551708346281419E-2</v>
      </c>
      <c r="S17" s="172">
        <v>45571</v>
      </c>
      <c r="T17" s="164">
        <v>24964.25</v>
      </c>
      <c r="U17" s="50">
        <f t="shared" si="5"/>
        <v>-2.0128245104857889E-3</v>
      </c>
    </row>
    <row r="18" spans="2:21" ht="15" customHeight="1" x14ac:dyDescent="0.2">
      <c r="B18" s="163">
        <v>45578</v>
      </c>
      <c r="C18" s="172"/>
      <c r="D18" s="164">
        <v>4058.35</v>
      </c>
      <c r="E18" s="50">
        <f t="shared" si="0"/>
        <v>-6.3025055765176807E-3</v>
      </c>
      <c r="G18" s="164">
        <v>1851.48</v>
      </c>
      <c r="H18" s="50">
        <f t="shared" si="1"/>
        <v>9.8118888022296069E-3</v>
      </c>
      <c r="J18">
        <v>274.33</v>
      </c>
      <c r="K18" s="50">
        <f t="shared" si="2"/>
        <v>3.8538709066818111E-2</v>
      </c>
      <c r="M18" s="164">
        <v>1687.9</v>
      </c>
      <c r="N18" s="50">
        <f t="shared" si="3"/>
        <v>2.4801918581706772E-2</v>
      </c>
      <c r="P18" s="164">
        <v>5991.7</v>
      </c>
      <c r="Q18" s="50">
        <f t="shared" si="4"/>
        <v>-6.5395924161005814E-2</v>
      </c>
      <c r="S18" s="172">
        <v>45578</v>
      </c>
      <c r="T18" s="164">
        <v>24854.05</v>
      </c>
      <c r="U18" s="50">
        <f t="shared" si="5"/>
        <v>-4.4143124668275524E-3</v>
      </c>
    </row>
    <row r="19" spans="2:21" ht="15" customHeight="1" x14ac:dyDescent="0.2">
      <c r="B19" s="163">
        <v>45585</v>
      </c>
      <c r="C19" s="172"/>
      <c r="D19" s="164">
        <v>3993.88</v>
      </c>
      <c r="E19" s="50">
        <f t="shared" si="0"/>
        <v>-1.5885766382889521E-2</v>
      </c>
      <c r="G19" s="164">
        <v>1846.15</v>
      </c>
      <c r="H19" s="50">
        <f t="shared" si="1"/>
        <v>-2.8787780586341238E-3</v>
      </c>
      <c r="J19">
        <v>271.73</v>
      </c>
      <c r="K19" s="50">
        <f t="shared" si="2"/>
        <v>-9.4776364232856958E-3</v>
      </c>
      <c r="M19" s="164">
        <v>1716.45</v>
      </c>
      <c r="N19" s="50">
        <f t="shared" si="3"/>
        <v>1.6914509153385771E-2</v>
      </c>
      <c r="P19" s="164">
        <v>5903.2</v>
      </c>
      <c r="Q19" s="50">
        <f t="shared" si="4"/>
        <v>-1.4770432431530311E-2</v>
      </c>
      <c r="S19" s="172">
        <v>45585</v>
      </c>
      <c r="T19" s="164">
        <v>24180.799999999999</v>
      </c>
      <c r="U19" s="50">
        <f t="shared" si="5"/>
        <v>-2.7088140564616281E-2</v>
      </c>
    </row>
    <row r="20" spans="2:21" ht="15" customHeight="1" x14ac:dyDescent="0.2">
      <c r="B20" s="163">
        <v>45592</v>
      </c>
      <c r="C20" s="172"/>
      <c r="D20" s="164">
        <v>3921.68</v>
      </c>
      <c r="E20" s="50">
        <f t="shared" si="0"/>
        <v>-1.8077658817991615E-2</v>
      </c>
      <c r="G20" s="164">
        <v>1751.52</v>
      </c>
      <c r="H20" s="50">
        <f t="shared" si="1"/>
        <v>-5.1258023454215595E-2</v>
      </c>
      <c r="J20">
        <v>275.67</v>
      </c>
      <c r="K20" s="50">
        <f t="shared" si="2"/>
        <v>1.4499687189489574E-2</v>
      </c>
      <c r="M20" s="164">
        <v>1603.65</v>
      </c>
      <c r="N20" s="50">
        <f t="shared" si="3"/>
        <v>-6.5717032246788376E-2</v>
      </c>
      <c r="P20" s="164">
        <v>5731.6</v>
      </c>
      <c r="Q20" s="50">
        <f t="shared" si="4"/>
        <v>-2.9068979536522432E-2</v>
      </c>
      <c r="S20" s="172">
        <v>45592</v>
      </c>
      <c r="T20" s="164">
        <v>24304.35</v>
      </c>
      <c r="U20" s="50">
        <f t="shared" si="5"/>
        <v>5.1094256600276999E-3</v>
      </c>
    </row>
    <row r="21" spans="2:21" ht="15" customHeight="1" x14ac:dyDescent="0.2">
      <c r="B21" s="163">
        <v>45599</v>
      </c>
      <c r="C21" s="172"/>
      <c r="D21" s="164">
        <v>4081.93</v>
      </c>
      <c r="E21" s="50">
        <f t="shared" si="0"/>
        <v>4.0862589502458135E-2</v>
      </c>
      <c r="G21" s="164">
        <v>1831.35</v>
      </c>
      <c r="H21" s="50">
        <f t="shared" si="1"/>
        <v>4.557755549465603E-2</v>
      </c>
      <c r="J21">
        <v>284.5</v>
      </c>
      <c r="K21" s="50">
        <f t="shared" si="2"/>
        <v>3.2031051619690221E-2</v>
      </c>
      <c r="M21" s="164">
        <v>1681.35</v>
      </c>
      <c r="N21" s="50">
        <f t="shared" si="3"/>
        <v>4.845196894584225E-2</v>
      </c>
      <c r="P21" s="164">
        <v>5926.95</v>
      </c>
      <c r="Q21" s="50">
        <f t="shared" si="4"/>
        <v>3.4082978574917933E-2</v>
      </c>
      <c r="S21" s="172">
        <v>45599</v>
      </c>
      <c r="T21" s="164">
        <v>24148.2</v>
      </c>
      <c r="U21" s="50">
        <f t="shared" si="5"/>
        <v>-6.4247758117372822E-3</v>
      </c>
    </row>
    <row r="22" spans="2:21" ht="15" customHeight="1" x14ac:dyDescent="0.2">
      <c r="B22" s="163">
        <v>45606</v>
      </c>
      <c r="C22" s="172"/>
      <c r="D22" s="164">
        <v>4080.85</v>
      </c>
      <c r="E22" s="50">
        <f t="shared" si="0"/>
        <v>-2.645807252941168E-4</v>
      </c>
      <c r="G22" s="164">
        <v>1852.73</v>
      </c>
      <c r="H22" s="50">
        <f t="shared" si="1"/>
        <v>1.1674447811723665E-2</v>
      </c>
      <c r="J22">
        <v>283.35000000000002</v>
      </c>
      <c r="K22" s="50">
        <f t="shared" si="2"/>
        <v>-4.0421792618627883E-3</v>
      </c>
      <c r="M22" s="164">
        <v>1687.5</v>
      </c>
      <c r="N22" s="50">
        <f t="shared" si="3"/>
        <v>3.6577750022304123E-3</v>
      </c>
      <c r="P22" s="164">
        <v>5994.65</v>
      </c>
      <c r="Q22" s="50">
        <f t="shared" si="4"/>
        <v>1.1422401066315757E-2</v>
      </c>
      <c r="S22" s="172">
        <v>45606</v>
      </c>
      <c r="T22" s="164">
        <v>23532.7</v>
      </c>
      <c r="U22" s="50">
        <f t="shared" si="5"/>
        <v>-2.5488442202731498E-2</v>
      </c>
    </row>
    <row r="23" spans="2:21" ht="15" customHeight="1" x14ac:dyDescent="0.2">
      <c r="B23" s="163">
        <v>45613</v>
      </c>
      <c r="C23" s="172"/>
      <c r="D23" s="164">
        <v>4178</v>
      </c>
      <c r="E23" s="50">
        <f t="shared" si="0"/>
        <v>2.38063148608747E-2</v>
      </c>
      <c r="G23" s="164">
        <v>1892.04</v>
      </c>
      <c r="H23" s="50">
        <f t="shared" si="1"/>
        <v>2.1217338737970382E-2</v>
      </c>
      <c r="J23">
        <v>285.83</v>
      </c>
      <c r="K23" s="50">
        <f t="shared" si="2"/>
        <v>8.7524263278628833E-3</v>
      </c>
      <c r="M23" s="164">
        <v>1747.45</v>
      </c>
      <c r="N23" s="50">
        <f t="shared" si="3"/>
        <v>3.5525925925925961E-2</v>
      </c>
      <c r="P23" s="164">
        <v>6133.7</v>
      </c>
      <c r="Q23" s="50">
        <f t="shared" si="4"/>
        <v>2.3195682817178653E-2</v>
      </c>
      <c r="S23" s="172">
        <v>45613</v>
      </c>
      <c r="T23" s="164">
        <v>23907.25</v>
      </c>
      <c r="U23" s="50">
        <f t="shared" si="5"/>
        <v>1.5916150717937061E-2</v>
      </c>
    </row>
    <row r="24" spans="2:21" ht="15" customHeight="1" x14ac:dyDescent="0.2">
      <c r="B24" s="163">
        <v>45620</v>
      </c>
      <c r="C24" s="172"/>
      <c r="D24" s="164">
        <v>4203.84</v>
      </c>
      <c r="E24" s="50">
        <f t="shared" si="0"/>
        <v>6.184777405457087E-3</v>
      </c>
      <c r="G24" s="164">
        <v>1841.86</v>
      </c>
      <c r="H24" s="50">
        <f t="shared" si="1"/>
        <v>-2.6521638020337912E-2</v>
      </c>
      <c r="J24">
        <v>288.92</v>
      </c>
      <c r="K24" s="50">
        <f t="shared" si="2"/>
        <v>1.0810621698212231E-2</v>
      </c>
      <c r="M24" s="164">
        <v>1712.3</v>
      </c>
      <c r="N24" s="50">
        <f t="shared" si="3"/>
        <v>-2.0115024750350541E-2</v>
      </c>
      <c r="P24" s="164">
        <v>6172.4</v>
      </c>
      <c r="Q24" s="50">
        <f t="shared" si="4"/>
        <v>6.3094054159804625E-3</v>
      </c>
      <c r="S24" s="172">
        <v>45620</v>
      </c>
      <c r="T24" s="164">
        <v>24131.1</v>
      </c>
      <c r="U24" s="50">
        <f t="shared" si="5"/>
        <v>9.3632684645870157E-3</v>
      </c>
    </row>
    <row r="25" spans="2:21" ht="15" customHeight="1" x14ac:dyDescent="0.2">
      <c r="B25" s="163">
        <v>45627</v>
      </c>
      <c r="C25" s="172"/>
      <c r="D25" s="164">
        <v>4375.75</v>
      </c>
      <c r="E25" s="50">
        <f t="shared" si="0"/>
        <v>4.0893563979599534E-2</v>
      </c>
      <c r="G25" s="164">
        <v>1916.26</v>
      </c>
      <c r="H25" s="50">
        <f t="shared" si="1"/>
        <v>4.0393949594431877E-2</v>
      </c>
      <c r="J25">
        <v>297.35000000000002</v>
      </c>
      <c r="K25" s="50">
        <f t="shared" si="2"/>
        <v>2.9177627024781883E-2</v>
      </c>
      <c r="M25" s="164">
        <v>1782.8</v>
      </c>
      <c r="N25" s="50">
        <f t="shared" si="3"/>
        <v>4.117269170122051E-2</v>
      </c>
      <c r="P25" s="164">
        <v>6378.9</v>
      </c>
      <c r="Q25" s="50">
        <f t="shared" si="4"/>
        <v>3.3455382023199975E-2</v>
      </c>
      <c r="S25" s="172">
        <v>45627</v>
      </c>
      <c r="T25" s="164">
        <v>24677.8</v>
      </c>
      <c r="U25" s="50">
        <f t="shared" si="5"/>
        <v>2.2655411481449228E-2</v>
      </c>
    </row>
    <row r="26" spans="2:21" ht="15" customHeight="1" x14ac:dyDescent="0.2">
      <c r="B26" s="163">
        <v>45634</v>
      </c>
      <c r="C26" s="172"/>
      <c r="D26" s="164">
        <v>4403.7</v>
      </c>
      <c r="E26" s="50">
        <f t="shared" si="0"/>
        <v>6.3874764326115052E-3</v>
      </c>
      <c r="G26" s="164">
        <v>1962.21</v>
      </c>
      <c r="H26" s="50">
        <f t="shared" si="1"/>
        <v>2.3979000761900737E-2</v>
      </c>
      <c r="J26">
        <v>309.95</v>
      </c>
      <c r="K26" s="50">
        <f t="shared" si="2"/>
        <v>4.2374306372961135E-2</v>
      </c>
      <c r="M26" s="164">
        <v>1796.4</v>
      </c>
      <c r="N26" s="50">
        <f t="shared" si="3"/>
        <v>7.6284496297958082E-3</v>
      </c>
      <c r="P26" s="164">
        <v>6714.45</v>
      </c>
      <c r="Q26" s="50">
        <f t="shared" si="4"/>
        <v>5.2603113389456002E-2</v>
      </c>
      <c r="S26" s="172">
        <v>45634</v>
      </c>
      <c r="T26" s="164">
        <v>24768.3</v>
      </c>
      <c r="U26" s="50">
        <f t="shared" si="5"/>
        <v>3.6672636944945491E-3</v>
      </c>
    </row>
    <row r="27" spans="2:21" ht="15" customHeight="1" x14ac:dyDescent="0.2">
      <c r="B27" s="163">
        <v>45641</v>
      </c>
      <c r="C27" s="172"/>
      <c r="D27" s="164">
        <v>4104.8599999999997</v>
      </c>
      <c r="E27" s="50">
        <f t="shared" si="0"/>
        <v>-6.7861116788155429E-2</v>
      </c>
      <c r="G27" s="164">
        <v>1904.95</v>
      </c>
      <c r="H27" s="50">
        <f t="shared" si="1"/>
        <v>-2.9181382216990071E-2</v>
      </c>
      <c r="J27">
        <v>305.2</v>
      </c>
      <c r="K27" s="50">
        <f t="shared" si="2"/>
        <v>-1.5325052427810903E-2</v>
      </c>
      <c r="M27" s="164">
        <v>1686.05</v>
      </c>
      <c r="N27" s="50">
        <f t="shared" si="3"/>
        <v>-6.1428412380316266E-2</v>
      </c>
      <c r="P27" s="164">
        <v>5824.3</v>
      </c>
      <c r="Q27" s="50">
        <f t="shared" si="4"/>
        <v>-0.13257228812486499</v>
      </c>
      <c r="S27" s="172">
        <v>45641</v>
      </c>
      <c r="T27" s="164">
        <v>23587.5</v>
      </c>
      <c r="U27" s="50">
        <f t="shared" si="5"/>
        <v>-4.7673841159869612E-2</v>
      </c>
    </row>
    <row r="28" spans="2:21" ht="15" customHeight="1" x14ac:dyDescent="0.2">
      <c r="B28" s="163">
        <v>45648</v>
      </c>
      <c r="C28" s="172"/>
      <c r="D28" s="164">
        <v>4099.5</v>
      </c>
      <c r="E28" s="50">
        <f t="shared" si="0"/>
        <v>-1.3057692588783754E-3</v>
      </c>
      <c r="G28" s="164">
        <v>1885.67</v>
      </c>
      <c r="H28" s="50">
        <f t="shared" si="1"/>
        <v>-1.012100055119558E-2</v>
      </c>
      <c r="J28">
        <v>309.10000000000002</v>
      </c>
      <c r="K28" s="50">
        <f t="shared" si="2"/>
        <v>1.2778505897772074E-2</v>
      </c>
      <c r="M28" s="164">
        <v>1711.65</v>
      </c>
      <c r="N28" s="50">
        <f t="shared" si="3"/>
        <v>1.5183416861896282E-2</v>
      </c>
      <c r="P28" s="164">
        <v>5678</v>
      </c>
      <c r="Q28" s="50">
        <f t="shared" si="4"/>
        <v>-2.5118898408392432E-2</v>
      </c>
      <c r="S28" s="172">
        <v>45648</v>
      </c>
      <c r="T28" s="164">
        <v>23813.4</v>
      </c>
      <c r="U28" s="50">
        <f t="shared" si="5"/>
        <v>9.5771065182830295E-3</v>
      </c>
    </row>
    <row r="29" spans="2:21" ht="15" customHeight="1" x14ac:dyDescent="0.2">
      <c r="B29" s="163">
        <v>45655</v>
      </c>
      <c r="C29" s="172"/>
      <c r="D29" s="164">
        <v>4035.57</v>
      </c>
      <c r="E29" s="50">
        <f t="shared" si="0"/>
        <v>-1.5594584705451831E-2</v>
      </c>
      <c r="G29" s="164">
        <v>1940.13</v>
      </c>
      <c r="H29" s="50">
        <f t="shared" si="1"/>
        <v>2.8880981295772878E-2</v>
      </c>
      <c r="J29">
        <v>294.45</v>
      </c>
      <c r="K29" s="50">
        <f t="shared" si="2"/>
        <v>-4.7395664833387308E-2</v>
      </c>
      <c r="M29" s="164">
        <v>1689.45</v>
      </c>
      <c r="N29" s="50">
        <f t="shared" si="3"/>
        <v>-1.2969941284725284E-2</v>
      </c>
      <c r="P29" s="164">
        <v>5733.4</v>
      </c>
      <c r="Q29" s="50">
        <f t="shared" si="4"/>
        <v>9.7569566748854086E-3</v>
      </c>
      <c r="S29" s="172">
        <v>45655</v>
      </c>
      <c r="T29" s="164">
        <v>24004.75</v>
      </c>
      <c r="U29" s="50">
        <f t="shared" si="5"/>
        <v>8.035391838208783E-3</v>
      </c>
    </row>
    <row r="30" spans="2:21" ht="15" customHeight="1" x14ac:dyDescent="0.2">
      <c r="B30" s="163">
        <v>45662</v>
      </c>
      <c r="C30" s="172"/>
      <c r="D30" s="164">
        <v>4198.72</v>
      </c>
      <c r="E30" s="50">
        <f t="shared" si="0"/>
        <v>4.0427994062796513E-2</v>
      </c>
      <c r="G30" s="164">
        <v>1988.42</v>
      </c>
      <c r="H30" s="50">
        <f t="shared" si="1"/>
        <v>2.4890084685046832E-2</v>
      </c>
      <c r="J30">
        <v>300.55</v>
      </c>
      <c r="K30" s="50">
        <f t="shared" si="2"/>
        <v>2.07165902530142E-2</v>
      </c>
      <c r="M30" s="164">
        <v>1705.6</v>
      </c>
      <c r="N30" s="50">
        <f t="shared" si="3"/>
        <v>9.5593240403681889E-3</v>
      </c>
      <c r="P30" s="164">
        <v>6124.4</v>
      </c>
      <c r="Q30" s="50">
        <f t="shared" si="4"/>
        <v>6.8196881431611178E-2</v>
      </c>
      <c r="S30" s="172">
        <v>45662</v>
      </c>
      <c r="T30" s="164">
        <v>23431.5</v>
      </c>
      <c r="U30" s="50">
        <f t="shared" si="5"/>
        <v>-2.3880690280048689E-2</v>
      </c>
    </row>
    <row r="31" spans="2:21" ht="15" customHeight="1" x14ac:dyDescent="0.2">
      <c r="B31" s="163">
        <v>45669</v>
      </c>
      <c r="C31" s="172"/>
      <c r="D31" s="164">
        <v>4124.3</v>
      </c>
      <c r="E31" s="50">
        <f t="shared" si="0"/>
        <v>-1.7724449355994265E-2</v>
      </c>
      <c r="G31" s="164">
        <v>1788.9</v>
      </c>
      <c r="H31" s="50">
        <f t="shared" si="1"/>
        <v>-0.10034097424085453</v>
      </c>
      <c r="J31">
        <v>281.95</v>
      </c>
      <c r="K31" s="50">
        <f t="shared" si="2"/>
        <v>-6.1886541340875123E-2</v>
      </c>
      <c r="M31" s="164">
        <v>1660.3</v>
      </c>
      <c r="N31" s="50">
        <f t="shared" si="3"/>
        <v>-2.6559568480300166E-2</v>
      </c>
      <c r="P31" s="164">
        <v>5890.3</v>
      </c>
      <c r="Q31" s="50">
        <f t="shared" si="4"/>
        <v>-3.8224152570047631E-2</v>
      </c>
      <c r="S31" s="172">
        <v>45669</v>
      </c>
      <c r="T31" s="164">
        <v>23203.200000000001</v>
      </c>
      <c r="U31" s="50">
        <f t="shared" si="5"/>
        <v>-9.7432942833365344E-3</v>
      </c>
    </row>
    <row r="32" spans="2:21" ht="15" customHeight="1" x14ac:dyDescent="0.2">
      <c r="B32" s="163">
        <v>45676</v>
      </c>
      <c r="C32" s="172"/>
      <c r="D32" s="164">
        <v>4152.3500000000004</v>
      </c>
      <c r="E32" s="50">
        <f t="shared" si="0"/>
        <v>6.8011541352472893E-3</v>
      </c>
      <c r="G32" s="164">
        <v>1792.85</v>
      </c>
      <c r="H32" s="50">
        <f t="shared" si="1"/>
        <v>2.2080608194978701E-3</v>
      </c>
      <c r="J32">
        <v>320.10000000000002</v>
      </c>
      <c r="K32" s="50">
        <f t="shared" si="2"/>
        <v>0.13530767866643045</v>
      </c>
      <c r="M32" s="164">
        <v>1723.05</v>
      </c>
      <c r="N32" s="50">
        <f t="shared" si="3"/>
        <v>3.7794374510630613E-2</v>
      </c>
      <c r="P32" s="164">
        <v>5998.15</v>
      </c>
      <c r="Q32" s="50">
        <f t="shared" si="4"/>
        <v>1.8309763509498644E-2</v>
      </c>
      <c r="S32" s="172">
        <v>45676</v>
      </c>
      <c r="T32" s="164">
        <v>23092.2</v>
      </c>
      <c r="U32" s="50">
        <f t="shared" si="5"/>
        <v>-4.7838229209764549E-3</v>
      </c>
    </row>
    <row r="33" spans="2:21" ht="15" customHeight="1" x14ac:dyDescent="0.2">
      <c r="B33" s="163">
        <v>45683</v>
      </c>
      <c r="C33" s="172"/>
      <c r="D33" s="164">
        <v>4112.3999999999996</v>
      </c>
      <c r="E33" s="50">
        <f t="shared" si="0"/>
        <v>-9.6210579551340158E-3</v>
      </c>
      <c r="G33" s="164">
        <v>1725.45</v>
      </c>
      <c r="H33" s="50">
        <f t="shared" si="1"/>
        <v>-3.7593775274004981E-2</v>
      </c>
      <c r="J33">
        <v>311.89999999999998</v>
      </c>
      <c r="K33" s="50">
        <f t="shared" si="2"/>
        <v>-2.5616994689159789E-2</v>
      </c>
      <c r="M33" s="164">
        <v>1674.45</v>
      </c>
      <c r="N33" s="50">
        <f t="shared" si="3"/>
        <v>-2.8205797858448678E-2</v>
      </c>
      <c r="P33" s="164">
        <v>5914.15</v>
      </c>
      <c r="Q33" s="50">
        <f t="shared" si="4"/>
        <v>-1.4004317998049354E-2</v>
      </c>
      <c r="S33" s="172">
        <v>45683</v>
      </c>
      <c r="T33" s="164">
        <v>23508.400000000001</v>
      </c>
      <c r="U33" s="50">
        <f t="shared" si="5"/>
        <v>1.8023401841314346E-2</v>
      </c>
    </row>
    <row r="34" spans="2:21" ht="15" customHeight="1" x14ac:dyDescent="0.2">
      <c r="B34" s="163">
        <v>45690</v>
      </c>
      <c r="C34" s="172"/>
      <c r="D34" s="164">
        <v>4029.4</v>
      </c>
      <c r="E34" s="50">
        <f t="shared" si="0"/>
        <v>-2.0182861589339463E-2</v>
      </c>
      <c r="G34" s="164">
        <v>1725.65</v>
      </c>
      <c r="H34" s="50">
        <f t="shared" si="1"/>
        <v>1.159117911269103E-4</v>
      </c>
      <c r="J34">
        <v>318</v>
      </c>
      <c r="K34" s="50">
        <f t="shared" si="2"/>
        <v>1.955755049695429E-2</v>
      </c>
      <c r="M34" s="164">
        <v>1692.1</v>
      </c>
      <c r="N34" s="50">
        <f t="shared" si="3"/>
        <v>1.0540774582698642E-2</v>
      </c>
      <c r="P34" s="164">
        <v>5956.6</v>
      </c>
      <c r="Q34" s="50">
        <f t="shared" si="4"/>
        <v>7.1777009375819656E-3</v>
      </c>
      <c r="S34" s="172">
        <v>45690</v>
      </c>
      <c r="T34" s="164">
        <v>23559.95</v>
      </c>
      <c r="U34" s="50">
        <f t="shared" si="5"/>
        <v>2.1928332000475947E-3</v>
      </c>
    </row>
    <row r="35" spans="2:21" ht="15" customHeight="1" x14ac:dyDescent="0.2">
      <c r="B35" s="163">
        <v>45697</v>
      </c>
      <c r="C35" s="172"/>
      <c r="D35" s="164">
        <v>3934.85</v>
      </c>
      <c r="E35" s="50">
        <f t="shared" si="0"/>
        <v>-2.3465032014692078E-2</v>
      </c>
      <c r="G35" s="164">
        <v>1711.25</v>
      </c>
      <c r="H35" s="50">
        <f t="shared" si="1"/>
        <v>-8.3446817141367147E-3</v>
      </c>
      <c r="J35">
        <v>308.10000000000002</v>
      </c>
      <c r="K35" s="50">
        <f t="shared" si="2"/>
        <v>-3.1132075471698051E-2</v>
      </c>
      <c r="M35" s="164">
        <v>1659.1</v>
      </c>
      <c r="N35" s="50">
        <f t="shared" si="3"/>
        <v>-1.9502393475562929E-2</v>
      </c>
      <c r="P35" s="164">
        <v>5511.6</v>
      </c>
      <c r="Q35" s="50">
        <f t="shared" si="4"/>
        <v>-7.4707047644629432E-2</v>
      </c>
      <c r="S35" s="172">
        <v>45697</v>
      </c>
      <c r="T35" s="164">
        <v>22929.25</v>
      </c>
      <c r="U35" s="50">
        <f t="shared" si="5"/>
        <v>-2.6770005878620329E-2</v>
      </c>
    </row>
    <row r="36" spans="2:21" ht="15" customHeight="1" x14ac:dyDescent="0.2">
      <c r="B36" s="163">
        <v>45704</v>
      </c>
      <c r="C36" s="172"/>
      <c r="D36" s="164">
        <v>3786</v>
      </c>
      <c r="E36" s="50">
        <f t="shared" si="0"/>
        <v>-3.7828633874226414E-2</v>
      </c>
      <c r="G36" s="164">
        <v>1700.7</v>
      </c>
      <c r="H36" s="50">
        <f t="shared" si="1"/>
        <v>-6.1650840029218168E-3</v>
      </c>
      <c r="J36">
        <v>306.35000000000002</v>
      </c>
      <c r="K36" s="50">
        <f t="shared" si="2"/>
        <v>-5.6799740344044558E-3</v>
      </c>
      <c r="M36" s="164">
        <v>1649.5</v>
      </c>
      <c r="N36" s="50">
        <f t="shared" si="3"/>
        <v>-5.7862696642757561E-3</v>
      </c>
      <c r="P36" s="164">
        <v>5298.5</v>
      </c>
      <c r="Q36" s="50">
        <f t="shared" si="4"/>
        <v>-3.8663908846795936E-2</v>
      </c>
      <c r="S36" s="172">
        <v>45704</v>
      </c>
      <c r="T36" s="164">
        <v>22795.9</v>
      </c>
      <c r="U36" s="50">
        <f t="shared" si="5"/>
        <v>-5.8157157342695331E-3</v>
      </c>
    </row>
    <row r="37" spans="2:21" ht="15" customHeight="1" x14ac:dyDescent="0.2">
      <c r="B37" s="163">
        <v>45711</v>
      </c>
      <c r="C37" s="172"/>
      <c r="D37" s="164">
        <v>3483.25</v>
      </c>
      <c r="E37" s="50">
        <f t="shared" si="0"/>
        <v>-7.9965662968832563E-2</v>
      </c>
      <c r="G37" s="164">
        <v>1575.05</v>
      </c>
      <c r="H37" s="50">
        <f t="shared" si="1"/>
        <v>-7.3881342976421571E-2</v>
      </c>
      <c r="J37">
        <v>277.64999999999998</v>
      </c>
      <c r="K37" s="50">
        <f t="shared" si="2"/>
        <v>-9.3683695119960997E-2</v>
      </c>
      <c r="M37" s="164">
        <v>1487.85</v>
      </c>
      <c r="N37" s="50">
        <f t="shared" si="3"/>
        <v>-9.7999393755683561E-2</v>
      </c>
      <c r="P37" s="164">
        <v>4665.95</v>
      </c>
      <c r="Q37" s="50">
        <f t="shared" si="4"/>
        <v>-0.11938284420118905</v>
      </c>
      <c r="S37" s="172">
        <v>45711</v>
      </c>
      <c r="T37" s="164">
        <v>22124.7</v>
      </c>
      <c r="U37" s="50">
        <f t="shared" si="5"/>
        <v>-2.9443891226053842E-2</v>
      </c>
    </row>
    <row r="38" spans="2:21" ht="15" customHeight="1" x14ac:dyDescent="0.2">
      <c r="B38" s="163">
        <v>45718</v>
      </c>
      <c r="C38" s="172"/>
      <c r="D38" s="164">
        <v>3611.2</v>
      </c>
      <c r="E38" s="50">
        <f t="shared" si="0"/>
        <v>3.6732936194645793E-2</v>
      </c>
      <c r="G38" s="164">
        <v>1557.95</v>
      </c>
      <c r="H38" s="50">
        <f t="shared" si="1"/>
        <v>-1.0856798196882567E-2</v>
      </c>
      <c r="J38">
        <v>284.8</v>
      </c>
      <c r="K38" s="50">
        <f t="shared" si="2"/>
        <v>2.5751845849090627E-2</v>
      </c>
      <c r="M38" s="164">
        <v>1492.35</v>
      </c>
      <c r="N38" s="50">
        <f t="shared" si="3"/>
        <v>3.0244984373424266E-3</v>
      </c>
      <c r="P38" s="164">
        <v>4721.95</v>
      </c>
      <c r="Q38" s="50">
        <f t="shared" si="4"/>
        <v>1.2001843140196478E-2</v>
      </c>
      <c r="S38" s="172">
        <v>45718</v>
      </c>
      <c r="T38" s="164">
        <v>22552.5</v>
      </c>
      <c r="U38" s="50">
        <f t="shared" si="5"/>
        <v>1.9335855401429125E-2</v>
      </c>
    </row>
    <row r="39" spans="2:21" ht="15" customHeight="1" x14ac:dyDescent="0.2">
      <c r="B39" s="163">
        <v>45725</v>
      </c>
      <c r="C39" s="172"/>
      <c r="D39" s="164">
        <v>3511.05</v>
      </c>
      <c r="E39" s="50">
        <f t="shared" si="0"/>
        <v>-2.7733163491360124E-2</v>
      </c>
      <c r="G39" s="164">
        <v>1534.75</v>
      </c>
      <c r="H39" s="50">
        <f t="shared" si="1"/>
        <v>-1.4891363650951561E-2</v>
      </c>
      <c r="J39">
        <v>264</v>
      </c>
      <c r="K39" s="50">
        <f t="shared" si="2"/>
        <v>-7.3033707865168607E-2</v>
      </c>
      <c r="M39" s="164">
        <v>1440.65</v>
      </c>
      <c r="N39" s="50">
        <f t="shared" si="3"/>
        <v>-3.4643347740141217E-2</v>
      </c>
      <c r="P39" s="164">
        <v>4467.05</v>
      </c>
      <c r="Q39" s="50">
        <f t="shared" si="4"/>
        <v>-5.3981935429218808E-2</v>
      </c>
      <c r="S39" s="172">
        <v>45725</v>
      </c>
      <c r="T39" s="164">
        <v>22397.200000000001</v>
      </c>
      <c r="U39" s="50">
        <f t="shared" si="5"/>
        <v>-6.8861545283227521E-3</v>
      </c>
    </row>
    <row r="40" spans="2:21" ht="15" customHeight="1" x14ac:dyDescent="0.2">
      <c r="B40" s="163">
        <v>45732</v>
      </c>
      <c r="C40" s="172"/>
      <c r="D40" s="164">
        <v>3578.1</v>
      </c>
      <c r="E40" s="50">
        <f t="shared" si="0"/>
        <v>1.9096851369248435E-2</v>
      </c>
      <c r="G40" s="164">
        <v>1566.7</v>
      </c>
      <c r="H40" s="50">
        <f t="shared" si="1"/>
        <v>2.0817722756149237E-2</v>
      </c>
      <c r="J40">
        <v>264.3</v>
      </c>
      <c r="K40" s="50">
        <f t="shared" si="2"/>
        <v>1.1363636363637131E-3</v>
      </c>
      <c r="M40" s="164">
        <v>1409.25</v>
      </c>
      <c r="N40" s="50">
        <f t="shared" si="3"/>
        <v>-2.1795717210981169E-2</v>
      </c>
      <c r="P40" s="164">
        <v>4520.25</v>
      </c>
      <c r="Q40" s="50">
        <f t="shared" si="4"/>
        <v>1.1909425683616748E-2</v>
      </c>
      <c r="S40" s="172">
        <v>45732</v>
      </c>
      <c r="T40" s="164">
        <v>23350.400000000001</v>
      </c>
      <c r="U40" s="50">
        <f t="shared" si="5"/>
        <v>4.2558891289982803E-2</v>
      </c>
    </row>
    <row r="41" spans="2:21" ht="15" customHeight="1" x14ac:dyDescent="0.2">
      <c r="B41" s="163">
        <v>45739</v>
      </c>
      <c r="C41" s="172"/>
      <c r="D41" s="164">
        <v>3606.15</v>
      </c>
      <c r="E41" s="50">
        <f t="shared" si="0"/>
        <v>7.8393560828373676E-3</v>
      </c>
      <c r="G41" s="164">
        <v>1592.5</v>
      </c>
      <c r="H41" s="50">
        <f t="shared" si="1"/>
        <v>1.6467734729048278E-2</v>
      </c>
      <c r="J41">
        <v>262.25</v>
      </c>
      <c r="K41" s="50">
        <f t="shared" si="2"/>
        <v>-7.7563374952706043E-3</v>
      </c>
      <c r="M41" s="164">
        <v>1418.25</v>
      </c>
      <c r="N41" s="50">
        <f t="shared" si="3"/>
        <v>6.3863757317721426E-3</v>
      </c>
      <c r="P41" s="164">
        <v>4491.3500000000004</v>
      </c>
      <c r="Q41" s="50">
        <f t="shared" si="4"/>
        <v>-6.393451689618912E-3</v>
      </c>
      <c r="S41" s="172">
        <v>45739</v>
      </c>
      <c r="T41" s="164">
        <v>23519.35</v>
      </c>
      <c r="U41" s="50">
        <f t="shared" si="5"/>
        <v>7.2354220912702605E-3</v>
      </c>
    </row>
    <row r="42" spans="2:21" ht="15" customHeight="1" x14ac:dyDescent="0.2">
      <c r="B42" s="163">
        <v>45746</v>
      </c>
      <c r="C42" s="172"/>
      <c r="D42" s="164">
        <v>3299.4</v>
      </c>
      <c r="E42" s="50">
        <f t="shared" si="0"/>
        <v>-8.5063017345368364E-2</v>
      </c>
      <c r="G42" s="164">
        <v>1422.1</v>
      </c>
      <c r="H42" s="50">
        <f t="shared" si="1"/>
        <v>-0.10700156985871279</v>
      </c>
      <c r="J42">
        <v>246.3</v>
      </c>
      <c r="K42" s="50">
        <f t="shared" si="2"/>
        <v>-6.0819828408007592E-2</v>
      </c>
      <c r="M42" s="164">
        <v>1320.95</v>
      </c>
      <c r="N42" s="50">
        <f t="shared" si="3"/>
        <v>-6.8605676009166228E-2</v>
      </c>
      <c r="P42" s="164">
        <v>4136.25</v>
      </c>
      <c r="Q42" s="50">
        <f t="shared" si="4"/>
        <v>-7.9063087935698717E-2</v>
      </c>
      <c r="S42" s="172">
        <v>45746</v>
      </c>
      <c r="T42" s="164">
        <v>22904.45</v>
      </c>
      <c r="U42" s="50">
        <f t="shared" si="5"/>
        <v>-2.6144430011883713E-2</v>
      </c>
    </row>
    <row r="43" spans="2:21" ht="15" customHeight="1" x14ac:dyDescent="0.2">
      <c r="B43" s="163">
        <v>45753</v>
      </c>
      <c r="C43" s="172"/>
      <c r="D43" s="164">
        <v>3231.5</v>
      </c>
      <c r="E43" s="50">
        <f t="shared" ref="E43:E74" si="6">D43/D42-1</f>
        <v>-2.0579499302903592E-2</v>
      </c>
      <c r="G43" s="164">
        <v>1390.55</v>
      </c>
      <c r="H43" s="50">
        <f t="shared" ref="H43:H74" si="7">G43/G42-1</f>
        <v>-2.2185500316433404E-2</v>
      </c>
      <c r="J43">
        <v>239.75</v>
      </c>
      <c r="K43" s="50">
        <f t="shared" ref="K43:K74" si="8">J43/J42-1</f>
        <v>-2.6593585058871327E-2</v>
      </c>
      <c r="M43" s="164">
        <v>1282.25</v>
      </c>
      <c r="N43" s="50">
        <f t="shared" ref="N43:N74" si="9">M43/M42-1</f>
        <v>-2.9297096786403798E-2</v>
      </c>
      <c r="P43" s="164">
        <v>4240.8</v>
      </c>
      <c r="Q43" s="50">
        <f t="shared" ref="Q43:Q74" si="10">P43/P42-1</f>
        <v>2.5276518585675367E-2</v>
      </c>
      <c r="S43" s="172">
        <v>45753</v>
      </c>
      <c r="T43" s="164">
        <v>22828.55</v>
      </c>
      <c r="U43" s="50">
        <f t="shared" ref="U43:U74" si="11">T43/T42-1</f>
        <v>-3.3137665388167648E-3</v>
      </c>
    </row>
    <row r="44" spans="2:21" ht="15" customHeight="1" x14ac:dyDescent="0.2">
      <c r="B44" s="163">
        <v>45760</v>
      </c>
      <c r="C44" s="172"/>
      <c r="D44" s="164">
        <v>3298.9</v>
      </c>
      <c r="E44" s="50">
        <f t="shared" si="6"/>
        <v>2.085718706483064E-2</v>
      </c>
      <c r="G44" s="164">
        <v>1438</v>
      </c>
      <c r="H44" s="50">
        <f t="shared" si="7"/>
        <v>3.4123188666355109E-2</v>
      </c>
      <c r="J44">
        <v>236.9</v>
      </c>
      <c r="K44" s="50">
        <f t="shared" si="8"/>
        <v>-1.1887382690302428E-2</v>
      </c>
      <c r="M44" s="164">
        <v>1306.8</v>
      </c>
      <c r="N44" s="50">
        <f t="shared" si="9"/>
        <v>1.9146032364983467E-2</v>
      </c>
      <c r="P44" s="164">
        <v>4191.8999999999996</v>
      </c>
      <c r="Q44" s="50">
        <f t="shared" si="10"/>
        <v>-1.1530843237125166E-2</v>
      </c>
      <c r="S44" s="172">
        <v>45760</v>
      </c>
      <c r="T44" s="164">
        <v>23851.65</v>
      </c>
      <c r="U44" s="50">
        <f t="shared" si="11"/>
        <v>4.4816687875489425E-2</v>
      </c>
    </row>
    <row r="45" spans="2:21" ht="15" customHeight="1" x14ac:dyDescent="0.2">
      <c r="B45" s="163">
        <v>45767</v>
      </c>
      <c r="C45" s="172"/>
      <c r="D45" s="164">
        <v>3448</v>
      </c>
      <c r="E45" s="50">
        <f t="shared" si="6"/>
        <v>4.5196883809754729E-2</v>
      </c>
      <c r="G45" s="164">
        <v>1578.2</v>
      </c>
      <c r="H45" s="50">
        <f t="shared" si="7"/>
        <v>9.749652294853961E-2</v>
      </c>
      <c r="J45">
        <v>240.9</v>
      </c>
      <c r="K45" s="50">
        <f t="shared" si="8"/>
        <v>1.6884761502743872E-2</v>
      </c>
      <c r="M45" s="164">
        <v>1462</v>
      </c>
      <c r="N45" s="50">
        <f t="shared" si="9"/>
        <v>0.11876339149066428</v>
      </c>
      <c r="P45" s="164">
        <v>4498.3</v>
      </c>
      <c r="Q45" s="50">
        <f t="shared" si="10"/>
        <v>7.3093346692430838E-2</v>
      </c>
      <c r="S45" s="172">
        <v>45767</v>
      </c>
      <c r="T45" s="164">
        <v>24039.35</v>
      </c>
      <c r="U45" s="50">
        <f t="shared" si="11"/>
        <v>7.86947653516612E-3</v>
      </c>
    </row>
    <row r="46" spans="2:21" ht="15" customHeight="1" x14ac:dyDescent="0.2">
      <c r="B46" s="163">
        <v>45774</v>
      </c>
      <c r="C46" s="172"/>
      <c r="D46" s="164">
        <v>3444.7</v>
      </c>
      <c r="E46" s="50">
        <f t="shared" si="6"/>
        <v>-9.5707656612531444E-4</v>
      </c>
      <c r="G46" s="164">
        <v>1576.5</v>
      </c>
      <c r="H46" s="50">
        <f t="shared" si="7"/>
        <v>-1.0771765302243219E-3</v>
      </c>
      <c r="J46">
        <v>242.87</v>
      </c>
      <c r="K46" s="50">
        <f t="shared" si="8"/>
        <v>8.1776670817765851E-3</v>
      </c>
      <c r="M46" s="164">
        <v>1496.3</v>
      </c>
      <c r="N46" s="50">
        <f t="shared" si="9"/>
        <v>2.3461012311901452E-2</v>
      </c>
      <c r="P46" s="164">
        <v>4579.8999999999996</v>
      </c>
      <c r="Q46" s="50">
        <f t="shared" si="10"/>
        <v>1.8140186292599392E-2</v>
      </c>
      <c r="S46" s="172">
        <v>45774</v>
      </c>
      <c r="T46" s="164">
        <v>24346.7</v>
      </c>
      <c r="U46" s="50">
        <f t="shared" si="11"/>
        <v>1.2785287455775673E-2</v>
      </c>
    </row>
    <row r="47" spans="2:21" ht="15" customHeight="1" x14ac:dyDescent="0.2">
      <c r="B47" s="163">
        <v>45781</v>
      </c>
      <c r="C47" s="172"/>
      <c r="D47" s="164">
        <v>3440.3</v>
      </c>
      <c r="E47" s="50">
        <f t="shared" si="6"/>
        <v>-1.2773245855951521E-3</v>
      </c>
      <c r="G47" s="164">
        <v>1569.4</v>
      </c>
      <c r="H47" s="50">
        <f t="shared" si="7"/>
        <v>-4.503647320012627E-3</v>
      </c>
      <c r="J47">
        <v>242.01</v>
      </c>
      <c r="K47" s="50">
        <f t="shared" si="8"/>
        <v>-3.540989006464379E-3</v>
      </c>
      <c r="M47" s="164">
        <v>1493.7</v>
      </c>
      <c r="N47" s="50">
        <f t="shared" si="9"/>
        <v>-1.7376194613378804E-3</v>
      </c>
      <c r="P47" s="164">
        <v>4621.6000000000004</v>
      </c>
      <c r="Q47" s="50">
        <f t="shared" si="10"/>
        <v>9.1050022926266738E-3</v>
      </c>
      <c r="S47" s="172">
        <v>45781</v>
      </c>
      <c r="T47" s="164">
        <v>24008</v>
      </c>
      <c r="U47" s="50">
        <f t="shared" si="11"/>
        <v>-1.391153626569519E-2</v>
      </c>
    </row>
    <row r="48" spans="2:21" ht="15" customHeight="1" x14ac:dyDescent="0.2">
      <c r="B48" s="163">
        <v>45788</v>
      </c>
      <c r="C48" s="172"/>
      <c r="D48" s="164">
        <v>3561.3</v>
      </c>
      <c r="E48" s="50">
        <f t="shared" si="6"/>
        <v>3.5171351335639311E-2</v>
      </c>
      <c r="G48" s="164">
        <v>1659.9</v>
      </c>
      <c r="H48" s="50">
        <f t="shared" si="7"/>
        <v>5.7665349815215983E-2</v>
      </c>
      <c r="J48">
        <v>254.31</v>
      </c>
      <c r="K48" s="50">
        <f t="shared" si="8"/>
        <v>5.0824346101400852E-2</v>
      </c>
      <c r="M48" s="164">
        <v>1617</v>
      </c>
      <c r="N48" s="50">
        <f t="shared" si="9"/>
        <v>8.2546696123719565E-2</v>
      </c>
      <c r="P48" s="164">
        <v>5047.8</v>
      </c>
      <c r="Q48" s="50">
        <f t="shared" si="10"/>
        <v>9.221914488488836E-2</v>
      </c>
      <c r="S48" s="172">
        <v>45788</v>
      </c>
      <c r="T48" s="164">
        <v>25019.8</v>
      </c>
      <c r="U48" s="50">
        <f t="shared" si="11"/>
        <v>4.2144285238253865E-2</v>
      </c>
    </row>
    <row r="49" spans="2:21" ht="15" customHeight="1" x14ac:dyDescent="0.2">
      <c r="B49" s="163">
        <v>45795</v>
      </c>
      <c r="C49" s="172"/>
      <c r="D49" s="164">
        <v>3514.6</v>
      </c>
      <c r="E49" s="50">
        <f t="shared" si="6"/>
        <v>-1.311318900401548E-2</v>
      </c>
      <c r="G49" s="164">
        <v>1648.2</v>
      </c>
      <c r="H49" s="50">
        <f t="shared" si="7"/>
        <v>-7.0486173865895729E-3</v>
      </c>
      <c r="J49">
        <v>247.36</v>
      </c>
      <c r="K49" s="50">
        <f t="shared" si="8"/>
        <v>-2.7328850615390587E-2</v>
      </c>
      <c r="M49" s="164">
        <v>1580.3</v>
      </c>
      <c r="N49" s="50">
        <f t="shared" si="9"/>
        <v>-2.2696351267779913E-2</v>
      </c>
      <c r="P49" s="164">
        <v>5045.8</v>
      </c>
      <c r="Q49" s="50">
        <f t="shared" si="10"/>
        <v>-3.9621221126040496E-4</v>
      </c>
      <c r="S49" s="172">
        <v>45795</v>
      </c>
      <c r="T49" s="164">
        <v>24853.15</v>
      </c>
      <c r="U49" s="50">
        <f t="shared" si="11"/>
        <v>-6.660724706032739E-3</v>
      </c>
    </row>
    <row r="50" spans="2:21" ht="15" customHeight="1" x14ac:dyDescent="0.2">
      <c r="B50" s="163">
        <v>45802</v>
      </c>
      <c r="C50" s="172"/>
      <c r="D50" s="164">
        <v>3463.4</v>
      </c>
      <c r="E50" s="50">
        <f t="shared" si="6"/>
        <v>-1.456780287941728E-2</v>
      </c>
      <c r="G50" s="164">
        <v>1636.6</v>
      </c>
      <c r="H50" s="50">
        <f t="shared" si="7"/>
        <v>-7.0379808275695677E-3</v>
      </c>
      <c r="J50">
        <v>249.67</v>
      </c>
      <c r="K50" s="50">
        <f t="shared" si="8"/>
        <v>9.3386157826649274E-3</v>
      </c>
      <c r="M50" s="164">
        <v>1573.9</v>
      </c>
      <c r="N50" s="50">
        <f t="shared" si="9"/>
        <v>-4.0498639498828259E-3</v>
      </c>
      <c r="P50" s="164">
        <v>5068.8999999999996</v>
      </c>
      <c r="Q50" s="50">
        <f t="shared" si="10"/>
        <v>4.5780649252842309E-3</v>
      </c>
      <c r="S50" s="172">
        <v>45802</v>
      </c>
      <c r="T50" s="164">
        <v>24750.7</v>
      </c>
      <c r="U50" s="50">
        <f t="shared" si="11"/>
        <v>-4.1222138843567402E-3</v>
      </c>
    </row>
    <row r="51" spans="2:21" ht="15" customHeight="1" x14ac:dyDescent="0.2">
      <c r="B51" s="163">
        <v>45809</v>
      </c>
      <c r="C51" s="172"/>
      <c r="D51" s="164">
        <v>3384.2</v>
      </c>
      <c r="E51" s="50">
        <f t="shared" si="6"/>
        <v>-2.2867702257896916E-2</v>
      </c>
      <c r="G51" s="164">
        <v>1637.7</v>
      </c>
      <c r="H51" s="50">
        <f t="shared" si="7"/>
        <v>6.7212513748016178E-4</v>
      </c>
      <c r="J51">
        <v>248.59</v>
      </c>
      <c r="K51" s="50">
        <f t="shared" si="8"/>
        <v>-4.325709937116895E-3</v>
      </c>
      <c r="M51" s="164">
        <v>1571.1</v>
      </c>
      <c r="N51" s="50">
        <f t="shared" si="9"/>
        <v>-1.779020268123932E-3</v>
      </c>
      <c r="P51" s="164">
        <v>5204</v>
      </c>
      <c r="Q51" s="50">
        <f t="shared" si="10"/>
        <v>2.6652725443390146E-2</v>
      </c>
      <c r="S51" s="172">
        <v>45809</v>
      </c>
      <c r="T51" s="164">
        <v>25003.05</v>
      </c>
      <c r="U51" s="50">
        <f t="shared" si="11"/>
        <v>1.0195671233540704E-2</v>
      </c>
    </row>
    <row r="52" spans="2:21" ht="15" customHeight="1" x14ac:dyDescent="0.2">
      <c r="B52" s="163">
        <v>45816</v>
      </c>
      <c r="C52" s="172"/>
      <c r="D52" s="164">
        <v>3445.7</v>
      </c>
      <c r="E52" s="50">
        <f t="shared" si="6"/>
        <v>1.8172684829501851E-2</v>
      </c>
      <c r="G52" s="164">
        <v>1695.3</v>
      </c>
      <c r="H52" s="50">
        <f t="shared" si="7"/>
        <v>3.5171276790620931E-2</v>
      </c>
      <c r="J52">
        <v>260.20999999999998</v>
      </c>
      <c r="K52" s="50">
        <f t="shared" si="8"/>
        <v>4.6743634096302999E-2</v>
      </c>
      <c r="M52" s="164">
        <v>1659</v>
      </c>
      <c r="N52" s="50">
        <f t="shared" si="9"/>
        <v>5.5948061867481469E-2</v>
      </c>
      <c r="P52" s="164">
        <v>5429</v>
      </c>
      <c r="Q52" s="50">
        <f t="shared" si="10"/>
        <v>4.323597232897769E-2</v>
      </c>
      <c r="S52" s="172">
        <v>45816</v>
      </c>
      <c r="T52" s="164">
        <v>24718.6</v>
      </c>
      <c r="U52" s="50">
        <f t="shared" si="11"/>
        <v>-1.1376612053329516E-2</v>
      </c>
    </row>
    <row r="53" spans="2:21" ht="15" customHeight="1" x14ac:dyDescent="0.2">
      <c r="B53" s="163">
        <v>45823</v>
      </c>
      <c r="C53" s="172"/>
      <c r="D53" s="164">
        <v>3435.7</v>
      </c>
      <c r="E53" s="50">
        <f t="shared" si="6"/>
        <v>-2.9021679194358718E-3</v>
      </c>
      <c r="G53" s="164">
        <v>1739.9</v>
      </c>
      <c r="H53" s="50">
        <f t="shared" si="7"/>
        <v>2.6308028077626444E-2</v>
      </c>
      <c r="J53">
        <v>266.54000000000002</v>
      </c>
      <c r="K53" s="50">
        <f t="shared" si="8"/>
        <v>2.4326505514776775E-2</v>
      </c>
      <c r="M53" s="164">
        <v>1696.1</v>
      </c>
      <c r="N53" s="50">
        <f t="shared" si="9"/>
        <v>2.2362869198312207E-2</v>
      </c>
      <c r="P53" s="164">
        <v>5376.5</v>
      </c>
      <c r="Q53" s="50">
        <f t="shared" si="10"/>
        <v>-9.6702891876957464E-3</v>
      </c>
      <c r="S53" s="172">
        <v>45823</v>
      </c>
      <c r="T53" s="164">
        <v>25112.400000000001</v>
      </c>
      <c r="U53" s="50">
        <f t="shared" si="11"/>
        <v>1.5931322971365791E-2</v>
      </c>
    </row>
    <row r="54" spans="2:21" ht="15" customHeight="1" x14ac:dyDescent="0.2">
      <c r="B54" s="163">
        <v>45830</v>
      </c>
      <c r="C54" s="172"/>
      <c r="D54" s="164">
        <v>3441.1</v>
      </c>
      <c r="E54" s="50">
        <f t="shared" si="6"/>
        <v>1.5717321069941281E-3</v>
      </c>
      <c r="G54" s="164">
        <v>1723.3</v>
      </c>
      <c r="H54" s="50">
        <f t="shared" si="7"/>
        <v>-9.5407782056440293E-3</v>
      </c>
      <c r="J54">
        <v>265.05</v>
      </c>
      <c r="K54" s="50">
        <f t="shared" si="8"/>
        <v>-5.5901553237788226E-3</v>
      </c>
      <c r="M54" s="164">
        <v>1674.4</v>
      </c>
      <c r="N54" s="50">
        <f t="shared" si="9"/>
        <v>-1.2794056954188893E-2</v>
      </c>
      <c r="P54" s="164">
        <v>5293</v>
      </c>
      <c r="Q54" s="50">
        <f t="shared" si="10"/>
        <v>-1.5530549614061195E-2</v>
      </c>
      <c r="S54" s="172">
        <v>45830</v>
      </c>
      <c r="T54" s="164">
        <v>25637.8</v>
      </c>
      <c r="U54" s="50">
        <f t="shared" si="11"/>
        <v>2.092193498032846E-2</v>
      </c>
    </row>
    <row r="55" spans="2:21" ht="15" customHeight="1" x14ac:dyDescent="0.2">
      <c r="B55" s="163">
        <v>45837</v>
      </c>
      <c r="C55" s="172"/>
      <c r="D55" s="164">
        <v>3419.8</v>
      </c>
      <c r="E55" s="50">
        <f t="shared" si="6"/>
        <v>-6.1898811426578382E-3</v>
      </c>
      <c r="G55" s="164">
        <v>1725.9</v>
      </c>
      <c r="H55" s="50">
        <f t="shared" si="7"/>
        <v>1.5087332443568524E-3</v>
      </c>
      <c r="J55">
        <v>270.05</v>
      </c>
      <c r="K55" s="50">
        <f t="shared" si="8"/>
        <v>1.8864365214110501E-2</v>
      </c>
      <c r="M55" s="164">
        <v>1655.2</v>
      </c>
      <c r="N55" s="50">
        <f t="shared" si="9"/>
        <v>-1.1466794075489783E-2</v>
      </c>
      <c r="P55" s="164">
        <v>5316</v>
      </c>
      <c r="Q55" s="50">
        <f t="shared" si="10"/>
        <v>4.3453617986020099E-3</v>
      </c>
      <c r="S55" s="172">
        <v>45837</v>
      </c>
      <c r="T55" s="164">
        <v>25461</v>
      </c>
      <c r="U55" s="50">
        <f t="shared" si="11"/>
        <v>-6.8960675252947023E-3</v>
      </c>
    </row>
    <row r="56" spans="2:21" ht="15" customHeight="1" x14ac:dyDescent="0.2">
      <c r="B56" s="163">
        <v>45844</v>
      </c>
      <c r="C56" s="172"/>
      <c r="D56" s="164">
        <v>3266</v>
      </c>
      <c r="E56" s="50">
        <f t="shared" si="6"/>
        <v>-4.4973390256740187E-2</v>
      </c>
      <c r="G56" s="164">
        <v>1638.3</v>
      </c>
      <c r="H56" s="50">
        <f t="shared" si="7"/>
        <v>-5.0756127237962856E-2</v>
      </c>
      <c r="J56">
        <v>258.3</v>
      </c>
      <c r="K56" s="50">
        <f t="shared" si="8"/>
        <v>-4.3510461025735969E-2</v>
      </c>
      <c r="M56" s="164">
        <v>1602.5</v>
      </c>
      <c r="N56" s="50">
        <f t="shared" si="9"/>
        <v>-3.1839052682455349E-2</v>
      </c>
      <c r="P56" s="164">
        <v>5206</v>
      </c>
      <c r="Q56" s="50">
        <f t="shared" si="10"/>
        <v>-2.0692249811888663E-2</v>
      </c>
      <c r="S56" s="172">
        <v>45844</v>
      </c>
      <c r="T56" s="164">
        <v>25149.85</v>
      </c>
      <c r="U56" s="50">
        <f t="shared" si="11"/>
        <v>-1.2220651192019205E-2</v>
      </c>
    </row>
    <row r="57" spans="2:21" ht="15" customHeight="1" x14ac:dyDescent="0.2">
      <c r="B57" s="163">
        <v>45851</v>
      </c>
      <c r="C57" s="172"/>
      <c r="D57" s="164">
        <v>3189.9</v>
      </c>
      <c r="E57" s="50">
        <f t="shared" si="6"/>
        <v>-2.3300673606858502E-2</v>
      </c>
      <c r="G57" s="164">
        <v>1548.8</v>
      </c>
      <c r="H57" s="50">
        <f t="shared" si="7"/>
        <v>-5.4629799182078997E-2</v>
      </c>
      <c r="J57">
        <v>266.95</v>
      </c>
      <c r="K57" s="50">
        <f t="shared" si="8"/>
        <v>3.3488192024777375E-2</v>
      </c>
      <c r="M57" s="164">
        <v>1548.9</v>
      </c>
      <c r="N57" s="50">
        <f t="shared" si="9"/>
        <v>-3.3447737909516273E-2</v>
      </c>
      <c r="P57" s="164">
        <v>5124</v>
      </c>
      <c r="Q57" s="50">
        <f t="shared" si="10"/>
        <v>-1.5751056473299996E-2</v>
      </c>
      <c r="S57" s="172">
        <v>45851</v>
      </c>
      <c r="T57" s="164">
        <v>24968.400000000001</v>
      </c>
      <c r="U57" s="50">
        <f t="shared" si="11"/>
        <v>-7.214754759968578E-3</v>
      </c>
    </row>
    <row r="58" spans="2:21" ht="15" customHeight="1" x14ac:dyDescent="0.2">
      <c r="B58" s="163">
        <v>45858</v>
      </c>
      <c r="C58" s="172"/>
      <c r="D58" s="164">
        <v>3135.8</v>
      </c>
      <c r="E58" s="50">
        <f t="shared" si="6"/>
        <v>-1.6959779303426403E-2</v>
      </c>
      <c r="G58" s="164">
        <v>1490.1</v>
      </c>
      <c r="H58" s="50">
        <f t="shared" si="7"/>
        <v>-3.7900309917355379E-2</v>
      </c>
      <c r="J58">
        <v>259.2</v>
      </c>
      <c r="K58" s="50">
        <f t="shared" si="8"/>
        <v>-2.9031653867765517E-2</v>
      </c>
      <c r="M58" s="164">
        <v>1461.9</v>
      </c>
      <c r="N58" s="50">
        <f t="shared" si="9"/>
        <v>-5.616889405384462E-2</v>
      </c>
      <c r="P58" s="164">
        <v>5096</v>
      </c>
      <c r="Q58" s="50">
        <f t="shared" si="10"/>
        <v>-5.464480874316946E-3</v>
      </c>
      <c r="S58" s="172">
        <v>45858</v>
      </c>
      <c r="T58" s="164">
        <v>24837</v>
      </c>
      <c r="U58" s="50">
        <f t="shared" si="11"/>
        <v>-5.2626519921180615E-3</v>
      </c>
    </row>
    <row r="59" spans="2:21" ht="15" customHeight="1" x14ac:dyDescent="0.2">
      <c r="B59" s="163">
        <v>45865</v>
      </c>
      <c r="C59" s="172"/>
      <c r="D59" s="164">
        <v>3003</v>
      </c>
      <c r="E59" s="50">
        <f t="shared" si="6"/>
        <v>-4.2349639645385628E-2</v>
      </c>
      <c r="G59" s="164">
        <v>1452.1</v>
      </c>
      <c r="H59" s="50">
        <f t="shared" si="7"/>
        <v>-2.5501644184954042E-2</v>
      </c>
      <c r="J59">
        <v>242.75</v>
      </c>
      <c r="K59" s="50">
        <f t="shared" si="8"/>
        <v>-6.3464506172839497E-2</v>
      </c>
      <c r="M59" s="164">
        <v>1438.8</v>
      </c>
      <c r="N59" s="50">
        <f t="shared" si="9"/>
        <v>-1.5801354401805967E-2</v>
      </c>
      <c r="P59" s="164">
        <v>5017.5</v>
      </c>
      <c r="Q59" s="50">
        <f t="shared" si="10"/>
        <v>-1.5404238618524357E-2</v>
      </c>
      <c r="S59" s="172">
        <v>45865</v>
      </c>
      <c r="T59" s="164">
        <v>24565.35</v>
      </c>
      <c r="U59" s="50">
        <f t="shared" si="11"/>
        <v>-1.0937311269477057E-2</v>
      </c>
    </row>
    <row r="60" spans="2:21" ht="15" customHeight="1" x14ac:dyDescent="0.2">
      <c r="B60" s="163">
        <v>45872</v>
      </c>
      <c r="C60" s="172"/>
      <c r="D60" s="164">
        <v>3036.4</v>
      </c>
      <c r="E60" s="50">
        <f t="shared" si="6"/>
        <v>1.1122211122211123E-2</v>
      </c>
      <c r="G60" s="164">
        <v>1475.7</v>
      </c>
      <c r="H60" s="50">
        <f t="shared" si="7"/>
        <v>1.6252324220095149E-2</v>
      </c>
      <c r="J60">
        <v>239.05</v>
      </c>
      <c r="K60" s="50">
        <f t="shared" si="8"/>
        <v>-1.5242018537590107E-2</v>
      </c>
      <c r="M60" s="164">
        <v>1480.4</v>
      </c>
      <c r="N60" s="50">
        <f t="shared" si="9"/>
        <v>2.8912983041423423E-2</v>
      </c>
      <c r="P60" s="164">
        <v>5012</v>
      </c>
      <c r="Q60" s="50">
        <f t="shared" si="10"/>
        <v>-1.0961634280020061E-3</v>
      </c>
      <c r="S60" s="172">
        <v>45872</v>
      </c>
      <c r="T60" s="164">
        <v>24363.3</v>
      </c>
      <c r="U60" s="50">
        <f t="shared" si="11"/>
        <v>-8.2249998473459263E-3</v>
      </c>
    </row>
    <row r="61" spans="2:21" ht="15" customHeight="1" x14ac:dyDescent="0.2">
      <c r="B61" s="163">
        <v>45879</v>
      </c>
      <c r="C61" s="172"/>
      <c r="D61" s="164">
        <v>3022.3</v>
      </c>
      <c r="E61" s="50">
        <f t="shared" si="6"/>
        <v>-4.6436569621920443E-3</v>
      </c>
      <c r="G61" s="164">
        <v>1489.8</v>
      </c>
      <c r="H61" s="50">
        <f t="shared" si="7"/>
        <v>9.5547875584467423E-3</v>
      </c>
      <c r="J61">
        <v>246.81</v>
      </c>
      <c r="K61" s="50">
        <f t="shared" si="8"/>
        <v>3.2461828069441534E-2</v>
      </c>
      <c r="M61" s="164">
        <v>1486.7</v>
      </c>
      <c r="N61" s="50">
        <f t="shared" si="9"/>
        <v>4.2556065928127662E-3</v>
      </c>
      <c r="P61" s="164">
        <v>5108</v>
      </c>
      <c r="Q61" s="50">
        <f t="shared" si="10"/>
        <v>1.9154030327214633E-2</v>
      </c>
      <c r="S61" s="172">
        <v>45879</v>
      </c>
      <c r="T61" s="164">
        <v>24631.3</v>
      </c>
      <c r="U61" s="50">
        <f t="shared" si="11"/>
        <v>1.100015186776826E-2</v>
      </c>
    </row>
    <row r="62" spans="2:21" ht="15" customHeight="1" x14ac:dyDescent="0.2">
      <c r="B62" s="163">
        <v>45886</v>
      </c>
      <c r="C62" s="172"/>
      <c r="D62" s="164">
        <v>3054</v>
      </c>
      <c r="E62" s="50">
        <f t="shared" si="6"/>
        <v>1.0488700658438876E-2</v>
      </c>
      <c r="G62" s="164">
        <v>1466.3</v>
      </c>
      <c r="H62" s="50">
        <f t="shared" si="7"/>
        <v>-1.57739293864948E-2</v>
      </c>
      <c r="J62">
        <v>248.64</v>
      </c>
      <c r="K62" s="50">
        <f t="shared" si="8"/>
        <v>7.4146104290748749E-3</v>
      </c>
      <c r="M62" s="164">
        <v>1505</v>
      </c>
      <c r="N62" s="50">
        <f t="shared" si="9"/>
        <v>1.2309141050649064E-2</v>
      </c>
      <c r="P62" s="164">
        <v>5224.5</v>
      </c>
      <c r="Q62" s="50">
        <f t="shared" si="10"/>
        <v>2.2807361002349147E-2</v>
      </c>
      <c r="S62" s="172">
        <v>45886</v>
      </c>
      <c r="T62" s="164">
        <v>24870.1</v>
      </c>
      <c r="U62" s="50">
        <f t="shared" si="11"/>
        <v>9.6949815884666002E-3</v>
      </c>
    </row>
    <row r="63" spans="2:21" ht="15" customHeight="1" x14ac:dyDescent="0.2">
      <c r="B63" s="163">
        <v>45893</v>
      </c>
      <c r="C63" s="172"/>
      <c r="D63" s="164">
        <v>3084.7</v>
      </c>
      <c r="E63" s="50">
        <f t="shared" si="6"/>
        <v>1.0052390307792924E-2</v>
      </c>
      <c r="G63" s="164">
        <v>1454.8</v>
      </c>
      <c r="H63" s="50">
        <f t="shared" si="7"/>
        <v>-7.8428698083611303E-3</v>
      </c>
      <c r="J63">
        <v>249.41</v>
      </c>
      <c r="K63" s="50">
        <f t="shared" si="8"/>
        <v>3.0968468468468568E-3</v>
      </c>
      <c r="M63" s="164">
        <v>1481.4</v>
      </c>
      <c r="N63" s="50">
        <f t="shared" si="9"/>
        <v>-1.56810631229235E-2</v>
      </c>
      <c r="P63" s="164">
        <v>5133.5</v>
      </c>
      <c r="Q63" s="50">
        <f t="shared" si="10"/>
        <v>-1.7417934730596274E-2</v>
      </c>
      <c r="S63" s="172">
        <v>45893</v>
      </c>
      <c r="T63" s="164">
        <v>24426.85</v>
      </c>
      <c r="U63" s="50">
        <f t="shared" si="11"/>
        <v>-1.7822606262138052E-2</v>
      </c>
    </row>
    <row r="64" spans="2:21" ht="15" customHeight="1" x14ac:dyDescent="0.2">
      <c r="B64" s="163">
        <v>45900</v>
      </c>
      <c r="C64" s="172"/>
      <c r="D64" s="164">
        <v>3048.3</v>
      </c>
      <c r="E64" s="50">
        <f t="shared" si="6"/>
        <v>-1.180017505754194E-2</v>
      </c>
      <c r="G64" s="164">
        <v>1419</v>
      </c>
      <c r="H64" s="50">
        <f t="shared" si="7"/>
        <v>-2.4608193566125869E-2</v>
      </c>
      <c r="J64">
        <v>243.67</v>
      </c>
      <c r="K64" s="50">
        <f t="shared" si="8"/>
        <v>-2.30143137805221E-2</v>
      </c>
      <c r="M64" s="164">
        <v>1477.9</v>
      </c>
      <c r="N64" s="50">
        <f t="shared" si="9"/>
        <v>-2.3626299446469767E-3</v>
      </c>
      <c r="P64" s="164">
        <v>5195.5</v>
      </c>
      <c r="Q64" s="50">
        <f t="shared" si="10"/>
        <v>1.2077529950326182E-2</v>
      </c>
      <c r="S64" s="172">
        <v>45900</v>
      </c>
      <c r="T64" s="164">
        <v>24741</v>
      </c>
      <c r="U64" s="50">
        <f t="shared" si="11"/>
        <v>1.2860847796584585E-2</v>
      </c>
    </row>
    <row r="65" spans="2:21" ht="15" customHeight="1" x14ac:dyDescent="0.2">
      <c r="B65" s="163">
        <v>45907</v>
      </c>
      <c r="C65" s="172"/>
      <c r="D65" s="164">
        <v>3133.4</v>
      </c>
      <c r="E65" s="50">
        <f t="shared" si="6"/>
        <v>2.7917199750680632E-2</v>
      </c>
      <c r="G65" s="164">
        <v>1467.2</v>
      </c>
      <c r="H65" s="50">
        <f t="shared" si="7"/>
        <v>3.3967582804792062E-2</v>
      </c>
      <c r="J65">
        <v>251.94</v>
      </c>
      <c r="K65" s="50">
        <f t="shared" si="8"/>
        <v>3.3939344195017984E-2</v>
      </c>
      <c r="M65" s="164">
        <v>1525.5</v>
      </c>
      <c r="N65" s="50">
        <f t="shared" si="9"/>
        <v>3.2207862507612095E-2</v>
      </c>
      <c r="P65" s="164">
        <v>5332.5</v>
      </c>
      <c r="Q65" s="50">
        <f t="shared" si="10"/>
        <v>2.6368973149841102E-2</v>
      </c>
      <c r="S65" s="172">
        <v>45907</v>
      </c>
      <c r="T65" s="164">
        <v>25114</v>
      </c>
      <c r="U65" s="50">
        <f t="shared" si="11"/>
        <v>1.5076189321369338E-2</v>
      </c>
    </row>
    <row r="66" spans="2:21" ht="15" customHeight="1" x14ac:dyDescent="0.2">
      <c r="B66" s="163">
        <v>45914</v>
      </c>
      <c r="C66" s="172"/>
      <c r="D66" s="164">
        <v>3169.2</v>
      </c>
      <c r="E66" s="50">
        <f t="shared" si="6"/>
        <v>1.142528882364191E-2</v>
      </c>
      <c r="G66" s="164">
        <v>1467.4</v>
      </c>
      <c r="H66" s="50">
        <f t="shared" si="7"/>
        <v>1.3631406761183129E-4</v>
      </c>
      <c r="J66">
        <v>255.88</v>
      </c>
      <c r="K66" s="50">
        <f t="shared" si="8"/>
        <v>1.5638644121616307E-2</v>
      </c>
      <c r="M66" s="164">
        <v>1553.8</v>
      </c>
      <c r="N66" s="50">
        <f t="shared" si="9"/>
        <v>1.8551294657489281E-2</v>
      </c>
      <c r="P66" s="164">
        <v>5509.5</v>
      </c>
      <c r="Q66" s="50">
        <f t="shared" si="10"/>
        <v>3.3192686357243373E-2</v>
      </c>
      <c r="S66" s="172">
        <v>45914</v>
      </c>
      <c r="T66" s="164">
        <v>25327.05</v>
      </c>
      <c r="U66" s="50">
        <f t="shared" si="11"/>
        <v>8.4833160786812467E-3</v>
      </c>
    </row>
    <row r="67" spans="2:21" ht="15" customHeight="1" x14ac:dyDescent="0.2">
      <c r="B67" s="163">
        <v>45921</v>
      </c>
      <c r="C67" s="172"/>
      <c r="D67" s="164">
        <v>2899.1</v>
      </c>
      <c r="E67" s="50">
        <f t="shared" si="6"/>
        <v>-8.5226555597627152E-2</v>
      </c>
      <c r="G67" s="164">
        <v>1395.3</v>
      </c>
      <c r="H67" s="50">
        <f t="shared" si="7"/>
        <v>-4.9134523647267336E-2</v>
      </c>
      <c r="J67">
        <v>235.75</v>
      </c>
      <c r="K67" s="50">
        <f t="shared" si="8"/>
        <v>-7.8669688916679692E-2</v>
      </c>
      <c r="M67" s="164">
        <v>1407.7</v>
      </c>
      <c r="N67" s="50">
        <f t="shared" si="9"/>
        <v>-9.4027545372634802E-2</v>
      </c>
      <c r="P67" s="164">
        <v>5075</v>
      </c>
      <c r="Q67" s="50">
        <f t="shared" si="10"/>
        <v>-7.8863780742354117E-2</v>
      </c>
      <c r="S67" s="172">
        <v>45921</v>
      </c>
      <c r="T67" s="164">
        <v>24654.7</v>
      </c>
      <c r="U67" s="50">
        <f t="shared" si="11"/>
        <v>-2.6546715863079107E-2</v>
      </c>
    </row>
    <row r="68" spans="2:21" ht="15" customHeight="1" x14ac:dyDescent="0.2">
      <c r="B68" s="163">
        <v>45928</v>
      </c>
      <c r="C68" s="172"/>
      <c r="D68" s="164">
        <v>2901.9</v>
      </c>
      <c r="E68" s="50">
        <f t="shared" si="6"/>
        <v>9.6581697768272079E-4</v>
      </c>
      <c r="G68" s="164">
        <v>1393.5</v>
      </c>
      <c r="H68" s="50">
        <f t="shared" si="7"/>
        <v>-1.2900451515802658E-3</v>
      </c>
      <c r="J68">
        <v>240.98</v>
      </c>
      <c r="K68" s="50">
        <f t="shared" si="8"/>
        <v>2.2184517497348732E-2</v>
      </c>
      <c r="M68" s="164">
        <v>1400.6</v>
      </c>
      <c r="N68" s="50">
        <f t="shared" si="9"/>
        <v>-5.0436882858564402E-3</v>
      </c>
      <c r="P68" s="164">
        <v>5120</v>
      </c>
      <c r="Q68" s="50">
        <f t="shared" si="10"/>
        <v>8.8669950738915482E-3</v>
      </c>
      <c r="S68" s="172">
        <v>45928</v>
      </c>
      <c r="T68" s="164">
        <v>24894.25</v>
      </c>
      <c r="U68" s="50">
        <f t="shared" si="11"/>
        <v>9.7162001565624934E-3</v>
      </c>
    </row>
    <row r="69" spans="2:21" ht="15" customHeight="1" x14ac:dyDescent="0.2">
      <c r="B69" s="163">
        <v>45935</v>
      </c>
      <c r="C69" s="172"/>
      <c r="D69" s="164">
        <v>3028.3</v>
      </c>
      <c r="E69" s="50">
        <f t="shared" si="6"/>
        <v>4.355766911333947E-2</v>
      </c>
      <c r="G69" s="164">
        <v>1495.5</v>
      </c>
      <c r="H69" s="50">
        <f t="shared" si="7"/>
        <v>7.319698600645852E-2</v>
      </c>
      <c r="J69">
        <v>248.7</v>
      </c>
      <c r="K69" s="50">
        <f t="shared" si="8"/>
        <v>3.2035853597808917E-2</v>
      </c>
      <c r="M69" s="164">
        <v>1457.2</v>
      </c>
      <c r="N69" s="50">
        <f t="shared" si="9"/>
        <v>4.0411252320434299E-2</v>
      </c>
      <c r="P69" s="164">
        <v>5471.5</v>
      </c>
      <c r="Q69" s="50">
        <f t="shared" si="10"/>
        <v>6.8652343749999956E-2</v>
      </c>
      <c r="S69" s="172">
        <v>45935</v>
      </c>
      <c r="T69" s="164">
        <v>25285.35</v>
      </c>
      <c r="U69" s="50">
        <f t="shared" si="11"/>
        <v>1.5710455225604214E-2</v>
      </c>
    </row>
    <row r="70" spans="2:21" ht="15" customHeight="1" x14ac:dyDescent="0.2">
      <c r="B70" s="163">
        <v>45942</v>
      </c>
      <c r="C70" s="172"/>
      <c r="D70" s="164">
        <v>2962.2</v>
      </c>
      <c r="E70" s="50">
        <f t="shared" si="6"/>
        <v>-2.1827427929861809E-2</v>
      </c>
      <c r="G70" s="164">
        <v>1486.2</v>
      </c>
      <c r="H70" s="50">
        <f t="shared" si="7"/>
        <v>-6.218655967903719E-3</v>
      </c>
      <c r="J70">
        <v>240.9</v>
      </c>
      <c r="K70" s="50">
        <f t="shared" si="8"/>
        <v>-3.1363088057901001E-2</v>
      </c>
      <c r="M70" s="164">
        <v>1447.6</v>
      </c>
      <c r="N70" s="50">
        <f t="shared" si="9"/>
        <v>-6.5879769420807976E-3</v>
      </c>
      <c r="P70" s="164">
        <v>5605</v>
      </c>
      <c r="Q70" s="50">
        <f t="shared" si="10"/>
        <v>2.4399159279904881E-2</v>
      </c>
      <c r="S70" s="172">
        <v>45942</v>
      </c>
      <c r="T70" s="164">
        <v>25709.85</v>
      </c>
      <c r="U70" s="50">
        <f t="shared" si="11"/>
        <v>1.6788377459675319E-2</v>
      </c>
    </row>
    <row r="71" spans="2:21" ht="15" customHeight="1" x14ac:dyDescent="0.2">
      <c r="B71" s="163">
        <v>45949</v>
      </c>
      <c r="C71" s="172"/>
      <c r="D71" s="164">
        <v>3063.2</v>
      </c>
      <c r="E71" s="50">
        <f t="shared" si="6"/>
        <v>3.4096279792046547E-2</v>
      </c>
      <c r="G71" s="164">
        <v>1523.8</v>
      </c>
      <c r="H71" s="50">
        <f t="shared" si="7"/>
        <v>2.5299421343022432E-2</v>
      </c>
      <c r="J71">
        <v>242.98</v>
      </c>
      <c r="K71" s="50">
        <f t="shared" si="8"/>
        <v>8.6342880863428118E-3</v>
      </c>
      <c r="M71" s="164">
        <v>1453.7</v>
      </c>
      <c r="N71" s="50">
        <f t="shared" si="9"/>
        <v>4.2138712351478258E-3</v>
      </c>
      <c r="P71" s="164">
        <v>5546</v>
      </c>
      <c r="Q71" s="50">
        <f t="shared" si="10"/>
        <v>-1.0526315789473717E-2</v>
      </c>
      <c r="S71" s="172">
        <v>45949</v>
      </c>
      <c r="T71" s="164">
        <v>25795.15</v>
      </c>
      <c r="U71" s="50">
        <f t="shared" si="11"/>
        <v>3.3177945417808274E-3</v>
      </c>
    </row>
    <row r="72" spans="2:21" ht="15" customHeight="1" x14ac:dyDescent="0.2">
      <c r="B72" s="163">
        <v>45956</v>
      </c>
      <c r="C72" s="172"/>
      <c r="D72" s="164">
        <v>3058</v>
      </c>
      <c r="E72" s="50">
        <f t="shared" si="6"/>
        <v>-1.6975711674065419E-3</v>
      </c>
      <c r="G72" s="164">
        <v>1541.5</v>
      </c>
      <c r="H72" s="50">
        <f t="shared" si="7"/>
        <v>1.1615697598110097E-2</v>
      </c>
      <c r="J72">
        <v>240.67</v>
      </c>
      <c r="K72" s="50">
        <f t="shared" si="8"/>
        <v>-9.5069553049633715E-3</v>
      </c>
      <c r="M72" s="164">
        <v>1424.4</v>
      </c>
      <c r="N72" s="50">
        <f t="shared" si="9"/>
        <v>-2.0155465364242953E-2</v>
      </c>
      <c r="P72" s="164">
        <v>5684.5</v>
      </c>
      <c r="Q72" s="50">
        <f t="shared" si="10"/>
        <v>2.4972953479985627E-2</v>
      </c>
      <c r="S72" s="172">
        <v>45956</v>
      </c>
      <c r="T72" s="164">
        <v>25722.1</v>
      </c>
      <c r="U72" s="50">
        <f t="shared" si="11"/>
        <v>-2.8319277073404203E-3</v>
      </c>
    </row>
    <row r="73" spans="2:21" ht="15" customHeight="1" x14ac:dyDescent="0.2">
      <c r="B73" s="163">
        <v>45963</v>
      </c>
      <c r="C73" s="172"/>
      <c r="D73" s="164">
        <v>2991.8</v>
      </c>
      <c r="E73" s="50">
        <f t="shared" si="6"/>
        <v>-2.1648136036625187E-2</v>
      </c>
      <c r="G73" s="164">
        <v>1512.4</v>
      </c>
      <c r="H73" s="50">
        <f t="shared" si="7"/>
        <v>-1.8877716509892895E-2</v>
      </c>
      <c r="J73">
        <v>236.49</v>
      </c>
      <c r="K73" s="50">
        <f t="shared" si="8"/>
        <v>-1.7368180496114882E-2</v>
      </c>
      <c r="M73" s="164">
        <v>1386.7</v>
      </c>
      <c r="N73" s="50">
        <f t="shared" si="9"/>
        <v>-2.6467284470654384E-2</v>
      </c>
      <c r="P73" s="164">
        <v>5567.5</v>
      </c>
      <c r="Q73" s="50">
        <f t="shared" si="10"/>
        <v>-2.0582285161403813E-2</v>
      </c>
      <c r="S73" s="172">
        <v>45963</v>
      </c>
      <c r="T73" s="164">
        <v>25492.3</v>
      </c>
      <c r="U73" s="50">
        <f t="shared" si="11"/>
        <v>-8.9339517379996014E-3</v>
      </c>
    </row>
    <row r="74" spans="2:21" ht="15" customHeight="1" x14ac:dyDescent="0.2">
      <c r="B74" s="163">
        <v>45970</v>
      </c>
      <c r="C74" s="172"/>
      <c r="D74" s="164">
        <v>3106</v>
      </c>
      <c r="E74" s="50">
        <f t="shared" si="6"/>
        <v>3.8171000735343297E-2</v>
      </c>
      <c r="G74" s="164">
        <v>1594.6</v>
      </c>
      <c r="H74" s="50">
        <f t="shared" si="7"/>
        <v>5.4350700872784818E-2</v>
      </c>
      <c r="J74">
        <v>244.37</v>
      </c>
      <c r="K74" s="50">
        <f t="shared" si="8"/>
        <v>3.3320647807518311E-2</v>
      </c>
      <c r="M74" s="164">
        <v>1439.2</v>
      </c>
      <c r="N74" s="50">
        <f t="shared" si="9"/>
        <v>3.7859666834931804E-2</v>
      </c>
      <c r="P74" s="164">
        <v>5809</v>
      </c>
      <c r="Q74" s="50">
        <f t="shared" si="10"/>
        <v>4.3376740008980619E-2</v>
      </c>
      <c r="S74" s="172">
        <v>45970</v>
      </c>
      <c r="T74" s="164">
        <v>25910.05</v>
      </c>
      <c r="U74" s="50">
        <f t="shared" si="11"/>
        <v>1.6387301263518728E-2</v>
      </c>
    </row>
    <row r="75" spans="2:21" ht="15" customHeight="1" x14ac:dyDescent="0.2">
      <c r="B75" s="163">
        <v>45977</v>
      </c>
      <c r="C75" s="172"/>
      <c r="D75" s="164">
        <v>3150.6</v>
      </c>
      <c r="E75" s="50">
        <f t="shared" ref="E75:E106" si="12">D75/D74-1</f>
        <v>1.4359304571796461E-2</v>
      </c>
      <c r="G75" s="164">
        <v>1608</v>
      </c>
      <c r="H75" s="50">
        <f t="shared" ref="H75:H106" si="13">G75/G74-1</f>
        <v>8.4033613445377853E-3</v>
      </c>
      <c r="J75">
        <v>244.49</v>
      </c>
      <c r="K75" s="50">
        <f t="shared" ref="K75:K106" si="14">J75/J74-1</f>
        <v>4.9105864058596183E-4</v>
      </c>
      <c r="M75" s="164">
        <v>1461.5</v>
      </c>
      <c r="N75" s="50">
        <f t="shared" ref="N75:N106" si="15">M75/M74-1</f>
        <v>1.5494719288493553E-2</v>
      </c>
      <c r="P75" s="164">
        <v>5926</v>
      </c>
      <c r="Q75" s="50">
        <f t="shared" ref="Q75:Q106" si="16">P75/P74-1</f>
        <v>2.0141160268548841E-2</v>
      </c>
      <c r="S75" s="172">
        <v>45977</v>
      </c>
      <c r="T75" s="164">
        <v>26068.15</v>
      </c>
      <c r="U75" s="50">
        <f t="shared" ref="U75:U106" si="17">T75/T74-1</f>
        <v>6.1018793865701415E-3</v>
      </c>
    </row>
    <row r="76" spans="2:21" ht="15" customHeight="1" x14ac:dyDescent="0.2">
      <c r="B76" s="163">
        <v>45984</v>
      </c>
      <c r="C76" s="172"/>
      <c r="D76" s="164">
        <v>3137.5</v>
      </c>
      <c r="E76" s="50">
        <f t="shared" si="12"/>
        <v>-4.1579381705071361E-3</v>
      </c>
      <c r="G76" s="164">
        <v>1624.2</v>
      </c>
      <c r="H76" s="50">
        <f t="shared" si="13"/>
        <v>1.0074626865671732E-2</v>
      </c>
      <c r="J76">
        <v>249.53</v>
      </c>
      <c r="K76" s="50">
        <f t="shared" si="14"/>
        <v>2.0614340054808E-2</v>
      </c>
      <c r="M76" s="164">
        <v>1517.3</v>
      </c>
      <c r="N76" s="50">
        <f t="shared" si="15"/>
        <v>3.8179952104002712E-2</v>
      </c>
      <c r="P76" s="164">
        <v>6096.5</v>
      </c>
      <c r="Q76" s="50">
        <f t="shared" si="16"/>
        <v>2.8771515356058153E-2</v>
      </c>
      <c r="S76" s="172">
        <v>45984</v>
      </c>
      <c r="T76" s="164">
        <v>26202.95</v>
      </c>
      <c r="U76" s="50">
        <f t="shared" si="17"/>
        <v>5.1710612375637233E-3</v>
      </c>
    </row>
    <row r="77" spans="2:21" ht="15" customHeight="1" x14ac:dyDescent="0.2">
      <c r="B77" s="163">
        <v>45991</v>
      </c>
      <c r="C77" s="172"/>
      <c r="D77" s="164">
        <v>3238.2</v>
      </c>
      <c r="E77" s="50">
        <f t="shared" si="12"/>
        <v>3.2095617529880327E-2</v>
      </c>
      <c r="G77" s="164">
        <v>1683</v>
      </c>
      <c r="H77" s="50">
        <f t="shared" si="13"/>
        <v>3.6202438123383862E-2</v>
      </c>
      <c r="J77">
        <v>259.91000000000003</v>
      </c>
      <c r="K77" s="50">
        <f t="shared" si="14"/>
        <v>4.1598204624694546E-2</v>
      </c>
      <c r="M77" s="164">
        <v>1570.8</v>
      </c>
      <c r="N77" s="50">
        <f t="shared" si="15"/>
        <v>3.5260001318130785E-2</v>
      </c>
      <c r="P77" s="164">
        <v>6292</v>
      </c>
      <c r="Q77" s="50">
        <f t="shared" si="16"/>
        <v>3.2067579758878084E-2</v>
      </c>
      <c r="S77" s="172">
        <v>45991</v>
      </c>
      <c r="T77" s="164">
        <v>26186.45</v>
      </c>
      <c r="U77" s="50">
        <f t="shared" si="17"/>
        <v>-6.297000910202577E-4</v>
      </c>
    </row>
    <row r="78" spans="2:21" ht="15" customHeight="1" x14ac:dyDescent="0.2">
      <c r="B78" s="163">
        <v>45998</v>
      </c>
      <c r="C78" s="172"/>
      <c r="D78" s="164">
        <v>3220.5</v>
      </c>
      <c r="E78" s="50">
        <f t="shared" si="12"/>
        <v>-5.4659996294237345E-3</v>
      </c>
      <c r="G78" s="164">
        <v>1673.2</v>
      </c>
      <c r="H78" s="50">
        <f t="shared" si="13"/>
        <v>-5.8229352346998997E-3</v>
      </c>
      <c r="J78">
        <v>260.60000000000002</v>
      </c>
      <c r="K78" s="50">
        <f t="shared" si="14"/>
        <v>2.6547651110000459E-3</v>
      </c>
      <c r="M78" s="164">
        <v>1578.4</v>
      </c>
      <c r="N78" s="50">
        <f t="shared" si="15"/>
        <v>4.8382989559461187E-3</v>
      </c>
      <c r="P78" s="164">
        <v>6284.5</v>
      </c>
      <c r="Q78" s="50">
        <f t="shared" si="16"/>
        <v>-1.1919898283534458E-3</v>
      </c>
      <c r="S78" s="172">
        <v>45998</v>
      </c>
      <c r="T78" s="164">
        <v>26046.95</v>
      </c>
      <c r="U78" s="50">
        <f t="shared" si="17"/>
        <v>-5.3271825696113995E-3</v>
      </c>
    </row>
    <row r="79" spans="2:21" ht="15" customHeight="1" x14ac:dyDescent="0.2">
      <c r="B79" s="163">
        <v>46005</v>
      </c>
      <c r="C79" s="172"/>
      <c r="D79" s="164">
        <v>3282</v>
      </c>
      <c r="E79" s="50">
        <f t="shared" si="12"/>
        <v>1.9096413600372619E-2</v>
      </c>
      <c r="G79" s="164">
        <v>1642.4</v>
      </c>
      <c r="H79" s="50">
        <f t="shared" si="13"/>
        <v>-1.8407841262251923E-2</v>
      </c>
      <c r="J79">
        <v>264.45</v>
      </c>
      <c r="K79" s="50">
        <f t="shared" si="14"/>
        <v>1.4773599386032066E-2</v>
      </c>
      <c r="M79" s="164">
        <v>1612.5</v>
      </c>
      <c r="N79" s="50">
        <f t="shared" si="15"/>
        <v>2.1604156107450478E-2</v>
      </c>
      <c r="P79" s="164">
        <v>6197.5</v>
      </c>
      <c r="Q79" s="50">
        <f t="shared" si="16"/>
        <v>-1.3843583419524186E-2</v>
      </c>
      <c r="S79" s="172">
        <v>46005</v>
      </c>
      <c r="T79" s="164">
        <v>25966.400000000001</v>
      </c>
      <c r="U79" s="50">
        <f t="shared" si="17"/>
        <v>-3.0924925951022475E-3</v>
      </c>
    </row>
    <row r="80" spans="2:21" ht="15" customHeight="1" x14ac:dyDescent="0.2">
      <c r="B80" s="163">
        <v>46012</v>
      </c>
      <c r="C80" s="172"/>
      <c r="D80" s="164">
        <v>3232.74</v>
      </c>
      <c r="E80" s="50">
        <f t="shared" si="12"/>
        <v>-1.5009140767824558E-2</v>
      </c>
      <c r="G80" s="164">
        <v>1660.9</v>
      </c>
      <c r="H80" s="50">
        <f t="shared" si="13"/>
        <v>1.126400389673643E-2</v>
      </c>
      <c r="J80">
        <v>266.3</v>
      </c>
      <c r="K80" s="50">
        <f t="shared" si="14"/>
        <v>6.9956513518625307E-3</v>
      </c>
      <c r="M80" s="164">
        <v>1612.3</v>
      </c>
      <c r="N80" s="50">
        <f t="shared" si="15"/>
        <v>-1.2403100775193465E-4</v>
      </c>
      <c r="P80" s="164">
        <v>6035.5</v>
      </c>
      <c r="Q80" s="50">
        <f t="shared" si="16"/>
        <v>-2.6139572408229172E-2</v>
      </c>
      <c r="S80" s="172">
        <v>46012</v>
      </c>
      <c r="T80" s="164">
        <v>26042.3</v>
      </c>
      <c r="U80" s="50">
        <f t="shared" si="17"/>
        <v>2.9230081952060782E-3</v>
      </c>
    </row>
    <row r="81" spans="2:21" ht="15" customHeight="1" x14ac:dyDescent="0.2">
      <c r="B81" s="163">
        <v>46019</v>
      </c>
      <c r="C81" s="172"/>
      <c r="D81" s="164">
        <v>3203.86</v>
      </c>
      <c r="E81" s="50">
        <f t="shared" si="12"/>
        <v>-8.9335981241918105E-3</v>
      </c>
      <c r="G81" s="164">
        <v>1640.2</v>
      </c>
      <c r="H81" s="50">
        <f t="shared" si="13"/>
        <v>-1.2463122403516214E-2</v>
      </c>
      <c r="J81">
        <v>269</v>
      </c>
      <c r="K81" s="50">
        <f t="shared" si="14"/>
        <v>1.0138941043935423E-2</v>
      </c>
      <c r="M81" s="164">
        <v>1612</v>
      </c>
      <c r="N81" s="50">
        <f t="shared" si="15"/>
        <v>-1.8606959002664958E-4</v>
      </c>
      <c r="P81" s="164">
        <v>6067</v>
      </c>
      <c r="Q81" s="50">
        <f t="shared" si="16"/>
        <v>5.2191202054510111E-3</v>
      </c>
      <c r="S81" s="172">
        <v>46019</v>
      </c>
      <c r="T81" s="164">
        <v>26328.55</v>
      </c>
      <c r="U81" s="50">
        <f t="shared" si="17"/>
        <v>1.0991732681061128E-2</v>
      </c>
    </row>
    <row r="82" spans="2:21" ht="15" customHeight="1" x14ac:dyDescent="0.2">
      <c r="B82" s="163">
        <v>46026</v>
      </c>
      <c r="C82" s="172"/>
      <c r="D82" s="164">
        <v>3161.58</v>
      </c>
      <c r="E82" s="50">
        <f t="shared" si="12"/>
        <v>-1.3196581623416859E-2</v>
      </c>
      <c r="G82" s="164">
        <v>1661.4</v>
      </c>
      <c r="H82" s="50">
        <f t="shared" si="13"/>
        <v>1.2925253017924687E-2</v>
      </c>
      <c r="J82">
        <v>261.95</v>
      </c>
      <c r="K82" s="50">
        <f t="shared" si="14"/>
        <v>-2.6208178438661744E-2</v>
      </c>
      <c r="M82" s="164">
        <v>1582.2</v>
      </c>
      <c r="N82" s="50">
        <f t="shared" si="15"/>
        <v>-1.8486352357320102E-2</v>
      </c>
      <c r="P82" s="164">
        <v>6037</v>
      </c>
      <c r="Q82" s="50">
        <f t="shared" si="16"/>
        <v>-4.9447832536674285E-3</v>
      </c>
      <c r="S82" s="172">
        <v>46026</v>
      </c>
      <c r="T82" s="164">
        <v>25683.3</v>
      </c>
      <c r="U82" s="50">
        <f t="shared" si="17"/>
        <v>-2.4507616256877029E-2</v>
      </c>
    </row>
    <row r="83" spans="2:21" ht="15" customHeight="1" x14ac:dyDescent="0.2">
      <c r="B83" s="163">
        <v>46033</v>
      </c>
      <c r="C83" s="172"/>
      <c r="D83" s="164">
        <v>3206.7</v>
      </c>
      <c r="E83" s="50">
        <f t="shared" si="12"/>
        <v>1.4271345339988306E-2</v>
      </c>
      <c r="G83" s="164">
        <v>1698</v>
      </c>
      <c r="H83" s="50">
        <f t="shared" si="13"/>
        <v>2.2029613578909313E-2</v>
      </c>
      <c r="J83">
        <v>267.45</v>
      </c>
      <c r="K83" s="50">
        <f t="shared" si="14"/>
        <v>2.0996373353693532E-2</v>
      </c>
      <c r="M83" s="164">
        <v>1670.5</v>
      </c>
      <c r="N83" s="50">
        <f t="shared" si="15"/>
        <v>5.5808368095057403E-2</v>
      </c>
      <c r="P83" s="164">
        <v>6308</v>
      </c>
      <c r="Q83" s="50">
        <f t="shared" si="16"/>
        <v>4.4889845949975138E-2</v>
      </c>
      <c r="S83" s="172">
        <v>46033</v>
      </c>
      <c r="T83" s="164">
        <v>25694.35</v>
      </c>
      <c r="U83" s="50">
        <f t="shared" si="17"/>
        <v>4.3024066222008273E-4</v>
      </c>
    </row>
    <row r="84" spans="2:21" ht="15" customHeight="1" x14ac:dyDescent="0.2">
      <c r="B84" s="163">
        <v>46040</v>
      </c>
      <c r="C84" s="172"/>
      <c r="D84" s="164">
        <v>3162.5</v>
      </c>
      <c r="E84" s="50">
        <f t="shared" si="12"/>
        <v>-1.3783640502697425E-2</v>
      </c>
      <c r="G84" s="164">
        <v>1707</v>
      </c>
      <c r="H84" s="50">
        <f t="shared" si="13"/>
        <v>5.300353356890497E-3</v>
      </c>
      <c r="J84">
        <v>238.4</v>
      </c>
      <c r="K84" s="50">
        <f t="shared" si="14"/>
        <v>-0.10861843335202837</v>
      </c>
      <c r="M84" s="164">
        <v>1701.1</v>
      </c>
      <c r="N84" s="50">
        <f t="shared" si="15"/>
        <v>1.8317868901526424E-2</v>
      </c>
      <c r="P84" s="164">
        <v>5893.5</v>
      </c>
      <c r="Q84" s="50">
        <f t="shared" si="16"/>
        <v>-6.5710209258085017E-2</v>
      </c>
      <c r="S84" s="172">
        <v>46040</v>
      </c>
      <c r="T84" s="164">
        <v>25048.65</v>
      </c>
      <c r="U84" s="50">
        <f t="shared" si="17"/>
        <v>-2.5130038315816394E-2</v>
      </c>
    </row>
    <row r="85" spans="2:21" ht="15" customHeight="1" x14ac:dyDescent="0.2">
      <c r="B85" s="163">
        <v>46047</v>
      </c>
      <c r="C85" s="172"/>
      <c r="D85" s="164">
        <v>3123.9</v>
      </c>
      <c r="E85" s="50">
        <f t="shared" si="12"/>
        <v>-1.2205533596837959E-2</v>
      </c>
      <c r="G85" s="164">
        <v>1695.6</v>
      </c>
      <c r="H85" s="50">
        <f t="shared" si="13"/>
        <v>-6.6783831282952733E-3</v>
      </c>
      <c r="J85">
        <v>236.9</v>
      </c>
      <c r="K85" s="50">
        <f t="shared" si="14"/>
        <v>-6.2919463087248717E-3</v>
      </c>
      <c r="M85" s="164">
        <v>1743.1</v>
      </c>
      <c r="N85" s="50">
        <f t="shared" si="15"/>
        <v>2.4689906531068173E-2</v>
      </c>
      <c r="P85" s="164">
        <v>5974.5</v>
      </c>
      <c r="Q85" s="50">
        <f t="shared" si="16"/>
        <v>1.3743955204886804E-2</v>
      </c>
      <c r="S85" s="172">
        <v>46047</v>
      </c>
      <c r="T85" s="164">
        <v>25320.65</v>
      </c>
      <c r="U85" s="50">
        <f t="shared" si="17"/>
        <v>1.0858868641623332E-2</v>
      </c>
    </row>
    <row r="86" spans="2:21" ht="15" customHeight="1" x14ac:dyDescent="0.2">
      <c r="B86" s="163">
        <v>46054</v>
      </c>
      <c r="C86" s="172"/>
      <c r="D86" s="164">
        <v>2941.6</v>
      </c>
      <c r="E86" s="50">
        <f t="shared" si="12"/>
        <v>-5.8356541502608938E-2</v>
      </c>
      <c r="G86" s="164">
        <v>1593.7</v>
      </c>
      <c r="H86" s="50">
        <f t="shared" si="13"/>
        <v>-6.0096720924746272E-2</v>
      </c>
      <c r="J86">
        <v>230.72</v>
      </c>
      <c r="K86" s="50">
        <f t="shared" si="14"/>
        <v>-2.6086956521739202E-2</v>
      </c>
      <c r="M86" s="164">
        <v>1619.9</v>
      </c>
      <c r="N86" s="50">
        <f t="shared" si="15"/>
        <v>-7.0678675922207446E-2</v>
      </c>
      <c r="P86" s="164">
        <v>5561.5</v>
      </c>
      <c r="Q86" s="50">
        <f t="shared" si="16"/>
        <v>-6.9127123608670127E-2</v>
      </c>
      <c r="S86" s="172">
        <v>46054</v>
      </c>
      <c r="T86" s="164">
        <v>25693.7</v>
      </c>
      <c r="U86" s="50">
        <f t="shared" si="17"/>
        <v>1.4733034104574605E-2</v>
      </c>
    </row>
    <row r="87" spans="2:21" ht="15" customHeight="1" x14ac:dyDescent="0.2">
      <c r="B87" s="163">
        <v>46061</v>
      </c>
      <c r="C87" s="172"/>
      <c r="D87" s="164">
        <v>2692.2</v>
      </c>
      <c r="E87" s="50">
        <f t="shared" si="12"/>
        <v>-8.4783791134076747E-2</v>
      </c>
      <c r="G87" s="164">
        <v>1455.2</v>
      </c>
      <c r="H87" s="50">
        <f t="shared" si="13"/>
        <v>-8.6904687205873077E-2</v>
      </c>
      <c r="J87">
        <v>214.09</v>
      </c>
      <c r="K87" s="50">
        <f t="shared" si="14"/>
        <v>-7.2078710124826584E-2</v>
      </c>
      <c r="M87" s="164">
        <v>1534.4</v>
      </c>
      <c r="N87" s="50">
        <f t="shared" si="15"/>
        <v>-5.2781035866411474E-2</v>
      </c>
      <c r="P87" s="164">
        <v>5115.5</v>
      </c>
      <c r="Q87" s="50">
        <f t="shared" si="16"/>
        <v>-8.0194192214330662E-2</v>
      </c>
      <c r="S87" s="172">
        <v>46061</v>
      </c>
      <c r="T87" s="164">
        <v>25471.1</v>
      </c>
      <c r="U87" s="50">
        <f t="shared" si="17"/>
        <v>-8.6636023616685209E-3</v>
      </c>
    </row>
    <row r="88" spans="2:21" ht="15" customHeight="1" x14ac:dyDescent="0.2">
      <c r="B88" s="163">
        <v>46068</v>
      </c>
      <c r="C88" s="172"/>
      <c r="D88" s="164">
        <v>2686.2</v>
      </c>
      <c r="E88" s="50">
        <f t="shared" si="12"/>
        <v>-2.2286605749943789E-3</v>
      </c>
      <c r="G88" s="164">
        <v>1436.5</v>
      </c>
      <c r="H88" s="50">
        <f t="shared" si="13"/>
        <v>-1.2850467289719614E-2</v>
      </c>
      <c r="J88">
        <v>209.86</v>
      </c>
      <c r="K88" s="50">
        <f t="shared" si="14"/>
        <v>-1.9758045681722569E-2</v>
      </c>
      <c r="M88" s="164">
        <v>1456.9</v>
      </c>
      <c r="N88" s="50">
        <f t="shared" si="15"/>
        <v>-5.0508342022940522E-2</v>
      </c>
      <c r="P88" s="164">
        <v>4889.5</v>
      </c>
      <c r="Q88" s="50">
        <f t="shared" si="16"/>
        <v>-4.4179454598768486E-2</v>
      </c>
      <c r="S88" s="172">
        <v>46068</v>
      </c>
      <c r="T88" s="164">
        <v>25571.25</v>
      </c>
      <c r="U88" s="50">
        <f t="shared" si="17"/>
        <v>3.9319071418195684E-3</v>
      </c>
    </row>
    <row r="89" spans="2:21" ht="15" customHeight="1" x14ac:dyDescent="0.2">
      <c r="B89" s="163">
        <v>46075</v>
      </c>
      <c r="C89" s="172"/>
      <c r="D89" s="164">
        <v>2637.4</v>
      </c>
      <c r="E89" s="50">
        <f t="shared" si="12"/>
        <v>-1.8166927257836196E-2</v>
      </c>
      <c r="G89" s="164">
        <v>1389.1</v>
      </c>
      <c r="H89" s="50">
        <f t="shared" si="13"/>
        <v>-3.2996867386007711E-2</v>
      </c>
      <c r="J89">
        <v>200.96</v>
      </c>
      <c r="K89" s="50">
        <f t="shared" si="14"/>
        <v>-4.2409225197750922E-2</v>
      </c>
      <c r="M89" s="164">
        <v>1357.8</v>
      </c>
      <c r="N89" s="50">
        <f t="shared" si="15"/>
        <v>-6.8021140778365075E-2</v>
      </c>
      <c r="P89" s="164">
        <v>4462</v>
      </c>
      <c r="Q89" s="50">
        <f t="shared" si="16"/>
        <v>-8.7432252786583509E-2</v>
      </c>
      <c r="S89" s="172">
        <v>46075</v>
      </c>
      <c r="T89" s="164">
        <v>25178.65</v>
      </c>
      <c r="U89" s="50">
        <f t="shared" si="17"/>
        <v>-1.5353179840641329E-2</v>
      </c>
    </row>
    <row r="90" spans="2:21" ht="15" customHeight="1" x14ac:dyDescent="0.2">
      <c r="B90" s="163">
        <v>46082</v>
      </c>
      <c r="C90" s="172"/>
      <c r="D90" s="164">
        <v>2557.6</v>
      </c>
      <c r="E90" s="50">
        <f t="shared" si="12"/>
        <v>-3.0257071358155807E-2</v>
      </c>
      <c r="G90" s="164">
        <v>1356.7</v>
      </c>
      <c r="H90" s="50">
        <f t="shared" si="13"/>
        <v>-2.3324454682888129E-2</v>
      </c>
      <c r="J90">
        <v>195.4</v>
      </c>
      <c r="K90" s="50">
        <f t="shared" si="14"/>
        <v>-2.7667197452229342E-2</v>
      </c>
      <c r="M90" s="164">
        <v>1331.7</v>
      </c>
      <c r="N90" s="50">
        <f t="shared" si="15"/>
        <v>-1.9222271321254869E-2</v>
      </c>
      <c r="P90" s="164">
        <v>4292</v>
      </c>
      <c r="Q90" s="50">
        <f t="shared" si="16"/>
        <v>-3.8099506947557149E-2</v>
      </c>
      <c r="S90" s="172">
        <v>46082</v>
      </c>
      <c r="T90" s="164">
        <v>24450.45</v>
      </c>
      <c r="U90" s="50">
        <f t="shared" si="17"/>
        <v>-2.892132818876314E-2</v>
      </c>
    </row>
    <row r="91" spans="2:21" ht="15" customHeight="1" x14ac:dyDescent="0.2">
      <c r="B91" s="163">
        <v>46089</v>
      </c>
      <c r="C91" s="172"/>
      <c r="D91" s="164">
        <v>2410.5</v>
      </c>
      <c r="E91" s="50">
        <f t="shared" si="12"/>
        <v>-5.751485767907405E-2</v>
      </c>
      <c r="G91" s="164">
        <v>1325.4</v>
      </c>
      <c r="H91" s="50">
        <f t="shared" si="13"/>
        <v>-2.3070686223925718E-2</v>
      </c>
      <c r="J91">
        <v>197.58</v>
      </c>
      <c r="K91" s="50">
        <f t="shared" si="14"/>
        <v>1.1156601842374547E-2</v>
      </c>
      <c r="M91" s="164">
        <v>1332.8</v>
      </c>
      <c r="N91" s="50">
        <f t="shared" si="15"/>
        <v>8.2601186453401532E-4</v>
      </c>
      <c r="P91" s="164">
        <v>4206.5</v>
      </c>
      <c r="Q91" s="50">
        <f t="shared" si="16"/>
        <v>-1.9920782851817309E-2</v>
      </c>
      <c r="S91" s="172">
        <v>46089</v>
      </c>
      <c r="T91" s="164">
        <v>23151.1</v>
      </c>
      <c r="U91" s="50">
        <f t="shared" si="17"/>
        <v>-5.3142171207482991E-2</v>
      </c>
    </row>
    <row r="92" spans="2:21" ht="15" customHeight="1" x14ac:dyDescent="0.2">
      <c r="B92" s="163">
        <v>46096</v>
      </c>
      <c r="C92" s="172"/>
      <c r="D92" s="164">
        <v>2390.6</v>
      </c>
      <c r="E92" s="50">
        <f t="shared" si="12"/>
        <v>-8.2555486413607992E-3</v>
      </c>
      <c r="G92" s="164">
        <v>1333.7</v>
      </c>
      <c r="H92" s="50">
        <f t="shared" si="13"/>
        <v>6.262260449675594E-3</v>
      </c>
      <c r="J92">
        <v>190.9</v>
      </c>
      <c r="K92" s="50">
        <f t="shared" si="14"/>
        <v>-3.3809089988865337E-2</v>
      </c>
      <c r="M92" s="164">
        <v>1384.8</v>
      </c>
      <c r="N92" s="50">
        <f t="shared" si="15"/>
        <v>3.9015606242496892E-2</v>
      </c>
      <c r="P92" s="164">
        <v>4298.8</v>
      </c>
      <c r="Q92" s="50">
        <f t="shared" si="16"/>
        <v>2.1942232259598349E-2</v>
      </c>
      <c r="S92" s="172">
        <v>46096</v>
      </c>
      <c r="T92" s="164">
        <v>23114.5</v>
      </c>
      <c r="U92" s="50">
        <f t="shared" si="17"/>
        <v>-1.5809184012853805E-3</v>
      </c>
    </row>
    <row r="93" spans="2:21" ht="15" customHeight="1" x14ac:dyDescent="0.2">
      <c r="B93" s="163">
        <v>46103</v>
      </c>
      <c r="C93" s="172"/>
      <c r="D93" s="164">
        <v>2389.8000000000002</v>
      </c>
      <c r="E93" s="50">
        <f t="shared" si="12"/>
        <v>-3.3464402242100455E-4</v>
      </c>
      <c r="G93" s="164">
        <v>1364.4</v>
      </c>
      <c r="H93" s="50">
        <f t="shared" si="13"/>
        <v>2.3018669865787045E-2</v>
      </c>
      <c r="J93">
        <v>191.6</v>
      </c>
      <c r="K93" s="50">
        <f t="shared" si="14"/>
        <v>3.6668412781559745E-3</v>
      </c>
      <c r="M93" s="164">
        <v>1391.6</v>
      </c>
      <c r="N93" s="50">
        <f t="shared" si="15"/>
        <v>4.9104563835933313E-3</v>
      </c>
      <c r="P93" s="164">
        <v>4200.7</v>
      </c>
      <c r="Q93" s="50">
        <f t="shared" si="16"/>
        <v>-2.2820321950311806E-2</v>
      </c>
      <c r="S93" s="172">
        <v>46103</v>
      </c>
      <c r="T93" s="164">
        <v>22819.599999999999</v>
      </c>
      <c r="U93" s="50">
        <f t="shared" si="17"/>
        <v>-1.275822535637805E-2</v>
      </c>
    </row>
    <row r="94" spans="2:21" ht="15" customHeight="1" x14ac:dyDescent="0.2">
      <c r="B94" s="163">
        <v>46110</v>
      </c>
      <c r="C94" s="172"/>
      <c r="D94" s="164">
        <v>2450.6999999999998</v>
      </c>
      <c r="E94" s="50">
        <f t="shared" si="12"/>
        <v>2.5483304042179133E-2</v>
      </c>
      <c r="G94" s="164">
        <v>1402.2</v>
      </c>
      <c r="H94" s="50">
        <f t="shared" si="13"/>
        <v>2.770448548812654E-2</v>
      </c>
      <c r="J94">
        <v>194.91</v>
      </c>
      <c r="K94" s="50">
        <f t="shared" si="14"/>
        <v>1.7275574112734837E-2</v>
      </c>
      <c r="M94" s="164">
        <v>1441.5</v>
      </c>
      <c r="N94" s="50">
        <f t="shared" si="15"/>
        <v>3.5858005173900587E-2</v>
      </c>
      <c r="P94" s="164">
        <v>4303.8999999999996</v>
      </c>
      <c r="Q94" s="50">
        <f t="shared" si="16"/>
        <v>2.4567334015759279E-2</v>
      </c>
      <c r="S94" s="172">
        <v>46110</v>
      </c>
      <c r="T94" s="164">
        <v>22713.1</v>
      </c>
      <c r="U94" s="50">
        <f t="shared" si="17"/>
        <v>-4.6670406142088616E-3</v>
      </c>
    </row>
    <row r="95" spans="2:21" ht="15" customHeight="1" x14ac:dyDescent="0.2">
      <c r="B95" s="163">
        <v>46117</v>
      </c>
      <c r="C95" s="172"/>
      <c r="D95" s="164">
        <v>2524.3000000000002</v>
      </c>
      <c r="E95" s="50">
        <f t="shared" si="12"/>
        <v>3.003223568776292E-2</v>
      </c>
      <c r="G95" s="164">
        <v>1451.2</v>
      </c>
      <c r="H95" s="50">
        <f t="shared" si="13"/>
        <v>3.4945086292968108E-2</v>
      </c>
      <c r="J95">
        <v>204.88</v>
      </c>
      <c r="K95" s="50">
        <f t="shared" si="14"/>
        <v>5.1151813657585476E-2</v>
      </c>
      <c r="M95" s="164">
        <v>1440.2</v>
      </c>
      <c r="N95" s="50">
        <f t="shared" si="15"/>
        <v>-9.018383628164317E-4</v>
      </c>
      <c r="P95" s="164">
        <v>4503.7</v>
      </c>
      <c r="Q95" s="50">
        <f t="shared" si="16"/>
        <v>4.6423011687074522E-2</v>
      </c>
      <c r="S95" s="172">
        <v>46117</v>
      </c>
      <c r="T95" s="164">
        <v>24050.6</v>
      </c>
      <c r="U95" s="50">
        <f t="shared" si="17"/>
        <v>5.8886721759689342E-2</v>
      </c>
    </row>
    <row r="96" spans="2:21" ht="15" customHeight="1" x14ac:dyDescent="0.2">
      <c r="B96" s="163">
        <v>46124</v>
      </c>
      <c r="C96" s="172"/>
      <c r="D96" s="164">
        <v>2581.5</v>
      </c>
      <c r="E96" s="50">
        <f t="shared" si="12"/>
        <v>2.2659747256665197E-2</v>
      </c>
      <c r="G96" s="164">
        <v>1442.3</v>
      </c>
      <c r="H96" s="50">
        <f t="shared" si="13"/>
        <v>-6.1328555678059615E-3</v>
      </c>
      <c r="J96">
        <v>204.32</v>
      </c>
      <c r="K96" s="50">
        <f t="shared" si="14"/>
        <v>-2.7333073018351861E-3</v>
      </c>
      <c r="M96" s="164">
        <v>1511.4</v>
      </c>
      <c r="N96" s="50">
        <f t="shared" si="15"/>
        <v>4.9437578114150948E-2</v>
      </c>
      <c r="P96" s="164">
        <v>4753.6000000000004</v>
      </c>
      <c r="Q96" s="50">
        <f t="shared" si="16"/>
        <v>5.5487710105024846E-2</v>
      </c>
      <c r="S96" s="172">
        <v>46124</v>
      </c>
      <c r="T96" s="164">
        <v>24353.55</v>
      </c>
      <c r="U96" s="50">
        <f t="shared" si="17"/>
        <v>1.2596359342386565E-2</v>
      </c>
    </row>
    <row r="97" spans="2:21" ht="15" customHeight="1" x14ac:dyDescent="0.2">
      <c r="B97" s="163">
        <v>46131</v>
      </c>
      <c r="C97" s="172"/>
      <c r="D97" s="164">
        <v>2396.9</v>
      </c>
      <c r="E97" s="50">
        <f t="shared" si="12"/>
        <v>-7.1508812705791125E-2</v>
      </c>
      <c r="G97" s="164">
        <v>1203.2</v>
      </c>
      <c r="H97" s="50">
        <f t="shared" si="13"/>
        <v>-0.16577688414338199</v>
      </c>
      <c r="J97">
        <v>199.36</v>
      </c>
      <c r="K97" s="50">
        <f t="shared" si="14"/>
        <v>-2.4275646045418875E-2</v>
      </c>
      <c r="M97" s="164">
        <v>1358.5</v>
      </c>
      <c r="N97" s="50">
        <f t="shared" si="15"/>
        <v>-0.10116448326055316</v>
      </c>
      <c r="P97" s="164">
        <v>4282.3</v>
      </c>
      <c r="Q97" s="50">
        <f t="shared" si="16"/>
        <v>-9.9145910467855924E-2</v>
      </c>
      <c r="S97" s="172">
        <v>46131</v>
      </c>
      <c r="T97" s="164">
        <v>23897.95</v>
      </c>
      <c r="U97" s="50">
        <f t="shared" si="17"/>
        <v>-1.8707744866764742E-2</v>
      </c>
    </row>
    <row r="98" spans="2:21" ht="15" customHeight="1" x14ac:dyDescent="0.2">
      <c r="B98" s="163">
        <v>46138</v>
      </c>
      <c r="C98" s="172"/>
      <c r="D98" s="164">
        <v>2473.9</v>
      </c>
      <c r="E98" s="50">
        <f t="shared" si="12"/>
        <v>3.2124827902707764E-2</v>
      </c>
      <c r="G98" s="164">
        <v>1199.0999999999999</v>
      </c>
      <c r="H98" s="50">
        <f t="shared" si="13"/>
        <v>-3.4075797872341607E-3</v>
      </c>
      <c r="J98">
        <v>200.65</v>
      </c>
      <c r="K98" s="50">
        <f t="shared" si="14"/>
        <v>6.4707062600319887E-3</v>
      </c>
      <c r="M98" s="164">
        <v>1473.5</v>
      </c>
      <c r="N98" s="50">
        <f t="shared" si="15"/>
        <v>8.4652189915347842E-2</v>
      </c>
      <c r="P98" s="164">
        <v>4269.6000000000004</v>
      </c>
      <c r="Q98" s="50">
        <f t="shared" si="16"/>
        <v>-2.9656960044834868E-3</v>
      </c>
      <c r="S98" s="172">
        <v>46138</v>
      </c>
      <c r="T98" s="164">
        <v>23997.55</v>
      </c>
      <c r="U98" s="50">
        <f t="shared" si="17"/>
        <v>4.167721499124255E-3</v>
      </c>
    </row>
    <row r="99" spans="2:21" ht="15" customHeight="1" x14ac:dyDescent="0.2">
      <c r="B99" s="163">
        <v>46145</v>
      </c>
      <c r="C99" s="172"/>
      <c r="D99" s="164">
        <v>2394.4</v>
      </c>
      <c r="E99" s="50">
        <f t="shared" si="12"/>
        <v>-3.2135494563240274E-2</v>
      </c>
      <c r="G99" s="164">
        <v>1198.4000000000001</v>
      </c>
      <c r="H99" s="50">
        <f t="shared" si="13"/>
        <v>-5.8377116170449384E-4</v>
      </c>
      <c r="J99">
        <v>197.91</v>
      </c>
      <c r="K99" s="50">
        <f t="shared" si="14"/>
        <v>-1.3655619237478267E-2</v>
      </c>
      <c r="M99" s="164">
        <v>1463</v>
      </c>
      <c r="N99" s="50">
        <f t="shared" si="15"/>
        <v>-7.1258907363420665E-3</v>
      </c>
      <c r="P99" s="164">
        <v>4349.8</v>
      </c>
      <c r="Q99" s="50">
        <f t="shared" si="16"/>
        <v>1.8783961026794138E-2</v>
      </c>
      <c r="S99" s="172">
        <v>46145</v>
      </c>
      <c r="T99" s="164">
        <v>24176.15</v>
      </c>
      <c r="U99" s="50">
        <f t="shared" si="17"/>
        <v>7.4424264143633234E-3</v>
      </c>
    </row>
    <row r="100" spans="2:21" ht="15" customHeight="1" x14ac:dyDescent="0.2">
      <c r="B100" s="163">
        <v>46152</v>
      </c>
      <c r="C100" s="172"/>
      <c r="D100" s="164">
        <v>2264</v>
      </c>
      <c r="E100" s="50">
        <f t="shared" si="12"/>
        <v>-5.446040761777482E-2</v>
      </c>
      <c r="G100" s="164">
        <v>1132.5999999999999</v>
      </c>
      <c r="H100" s="50">
        <f t="shared" si="13"/>
        <v>-5.4906542056074925E-2</v>
      </c>
      <c r="J100">
        <v>190</v>
      </c>
      <c r="K100" s="50">
        <f t="shared" si="14"/>
        <v>-3.9967662068617016E-2</v>
      </c>
      <c r="M100" s="164">
        <v>1370.5</v>
      </c>
      <c r="N100" s="50">
        <f t="shared" si="15"/>
        <v>-6.3226247436773741E-2</v>
      </c>
      <c r="P100" s="164">
        <v>3968.4</v>
      </c>
      <c r="Q100" s="50">
        <f t="shared" si="16"/>
        <v>-8.7682192284702754E-2</v>
      </c>
      <c r="S100" s="172">
        <v>46152</v>
      </c>
      <c r="T100" s="164">
        <v>23643.5</v>
      </c>
      <c r="U100" s="50">
        <f t="shared" si="17"/>
        <v>-2.2032043977225579E-2</v>
      </c>
    </row>
    <row r="101" spans="2:21" ht="15" customHeight="1" x14ac:dyDescent="0.2">
      <c r="B101" s="163">
        <v>46159</v>
      </c>
      <c r="C101" s="172"/>
      <c r="D101" s="164">
        <v>2317.3000000000002</v>
      </c>
      <c r="E101" s="50">
        <f t="shared" si="12"/>
        <v>2.3542402826855158E-2</v>
      </c>
      <c r="G101" s="164">
        <v>1164</v>
      </c>
      <c r="H101" s="50">
        <f t="shared" si="13"/>
        <v>2.7723821296132822E-2</v>
      </c>
      <c r="J101">
        <v>203.11</v>
      </c>
      <c r="K101" s="50">
        <f t="shared" si="14"/>
        <v>6.9000000000000172E-2</v>
      </c>
      <c r="M101" s="164">
        <v>1422.2</v>
      </c>
      <c r="N101" s="50">
        <f t="shared" si="15"/>
        <v>3.7723458591754966E-2</v>
      </c>
      <c r="P101" s="164">
        <v>4007.8</v>
      </c>
      <c r="Q101" s="50">
        <f t="shared" si="16"/>
        <v>9.9284346336054874E-3</v>
      </c>
      <c r="S101" s="172">
        <v>46159</v>
      </c>
      <c r="T101" s="164">
        <v>23719.3</v>
      </c>
      <c r="U101" s="50">
        <f t="shared" si="17"/>
        <v>3.2059551250871454E-3</v>
      </c>
    </row>
    <row r="102" spans="2:21" ht="15" customHeight="1" x14ac:dyDescent="0.2">
      <c r="B102" s="163">
        <v>46166</v>
      </c>
      <c r="C102" s="172"/>
      <c r="D102" s="164">
        <v>2258.9</v>
      </c>
      <c r="E102" s="50">
        <f t="shared" si="12"/>
        <v>-2.5201743408276966E-2</v>
      </c>
      <c r="G102" s="164">
        <v>1183.8</v>
      </c>
      <c r="H102" s="50">
        <f t="shared" si="13"/>
        <v>1.7010309278350455E-2</v>
      </c>
      <c r="J102">
        <v>204.25</v>
      </c>
      <c r="K102" s="50">
        <f t="shared" si="14"/>
        <v>5.6127221702524377E-3</v>
      </c>
      <c r="M102" s="164">
        <v>1483.9</v>
      </c>
      <c r="N102" s="50">
        <f t="shared" si="15"/>
        <v>4.3383490367036925E-2</v>
      </c>
      <c r="P102" s="164">
        <v>4061.6</v>
      </c>
      <c r="Q102" s="50">
        <f t="shared" si="16"/>
        <v>1.3423823544088886E-2</v>
      </c>
      <c r="S102" s="172">
        <v>46166</v>
      </c>
      <c r="T102" s="164">
        <v>23547.75</v>
      </c>
      <c r="U102" s="50">
        <f t="shared" si="17"/>
        <v>-7.2325068615008981E-3</v>
      </c>
    </row>
    <row r="103" spans="2:21" ht="15" customHeight="1" x14ac:dyDescent="0.2">
      <c r="B103" s="163">
        <v>46173</v>
      </c>
      <c r="C103" s="172"/>
      <c r="D103" s="164">
        <v>2198.9</v>
      </c>
      <c r="E103" s="50">
        <f t="shared" si="12"/>
        <v>-2.6561600779140271E-2</v>
      </c>
      <c r="G103" s="164">
        <v>1154.7</v>
      </c>
      <c r="H103" s="50">
        <f t="shared" si="13"/>
        <v>-2.4581855043081524E-2</v>
      </c>
      <c r="J103">
        <v>198.37</v>
      </c>
      <c r="K103" s="50">
        <f t="shared" si="14"/>
        <v>-2.8788249694002399E-2</v>
      </c>
      <c r="M103" s="164">
        <v>1483.5</v>
      </c>
      <c r="N103" s="50">
        <f t="shared" si="15"/>
        <v>-2.6955994339250555E-4</v>
      </c>
      <c r="P103" s="164">
        <v>4027.2</v>
      </c>
      <c r="Q103" s="50">
        <f t="shared" si="16"/>
        <v>-8.4695686428993833E-3</v>
      </c>
      <c r="S103" s="172">
        <v>46173</v>
      </c>
      <c r="T103" s="164">
        <v>23366.7</v>
      </c>
      <c r="U103" s="50">
        <f t="shared" si="17"/>
        <v>-7.6886326719113329E-3</v>
      </c>
    </row>
    <row r="104" spans="2:21" ht="15" customHeight="1" x14ac:dyDescent="0.2">
      <c r="B104" s="163">
        <v>46180</v>
      </c>
      <c r="C104" s="172"/>
      <c r="D104" s="164">
        <v>2161.4</v>
      </c>
      <c r="E104" s="50">
        <f t="shared" si="12"/>
        <v>-1.7053981536222618E-2</v>
      </c>
      <c r="G104" s="164">
        <v>1109.5999999999999</v>
      </c>
      <c r="H104" s="50">
        <f t="shared" si="13"/>
        <v>-3.9057763921364952E-2</v>
      </c>
      <c r="J104">
        <v>180.14</v>
      </c>
      <c r="K104" s="50">
        <f t="shared" si="14"/>
        <v>-9.1898976659777309E-2</v>
      </c>
      <c r="M104" s="164">
        <v>1429.2</v>
      </c>
      <c r="N104" s="50">
        <f t="shared" si="15"/>
        <v>-3.6602628918099067E-2</v>
      </c>
      <c r="P104" s="164">
        <v>3844.7</v>
      </c>
      <c r="Q104" s="50">
        <f t="shared" si="16"/>
        <v>-4.5316845450933618E-2</v>
      </c>
      <c r="S104" s="172">
        <v>46180</v>
      </c>
      <c r="T104" s="164">
        <v>23622.9</v>
      </c>
      <c r="U104" s="50">
        <f t="shared" si="17"/>
        <v>1.0964321020940027E-2</v>
      </c>
    </row>
    <row r="105" spans="2:21" ht="15" customHeight="1" x14ac:dyDescent="0.2">
      <c r="B105" s="163">
        <v>46187</v>
      </c>
      <c r="C105" s="172"/>
      <c r="D105" s="164">
        <v>2125</v>
      </c>
      <c r="E105" s="50">
        <f t="shared" si="12"/>
        <v>-1.6840936430091658E-2</v>
      </c>
      <c r="G105" s="164">
        <v>1131.7</v>
      </c>
      <c r="H105" s="50">
        <f t="shared" si="13"/>
        <v>1.9917087238644715E-2</v>
      </c>
      <c r="J105">
        <v>180.8</v>
      </c>
      <c r="K105" s="50">
        <f t="shared" si="14"/>
        <v>3.6638170311980023E-3</v>
      </c>
      <c r="M105" s="164">
        <v>1409.6</v>
      </c>
      <c r="N105" s="50">
        <f t="shared" si="15"/>
        <v>-1.3713965855023935E-2</v>
      </c>
      <c r="P105" s="164">
        <v>3832.5</v>
      </c>
      <c r="Q105" s="50">
        <f t="shared" si="16"/>
        <v>-3.1731994693994237E-3</v>
      </c>
      <c r="S105" s="172">
        <v>46187</v>
      </c>
      <c r="T105" s="164">
        <v>24013.1</v>
      </c>
      <c r="U105" s="50">
        <f t="shared" si="17"/>
        <v>1.6517870371546062E-2</v>
      </c>
    </row>
    <row r="106" spans="2:21" ht="15" customHeight="1" x14ac:dyDescent="0.2">
      <c r="B106" s="163">
        <v>46194</v>
      </c>
      <c r="C106" s="172"/>
      <c r="D106" s="164">
        <v>2094.6999999999998</v>
      </c>
      <c r="E106" s="50">
        <f t="shared" si="12"/>
        <v>-1.4258823529411879E-2</v>
      </c>
      <c r="G106" s="164">
        <v>1100.7</v>
      </c>
      <c r="H106" s="50">
        <f t="shared" si="13"/>
        <v>-2.7392418485464365E-2</v>
      </c>
      <c r="J106">
        <v>175</v>
      </c>
      <c r="K106" s="50">
        <f t="shared" si="14"/>
        <v>-3.2079646017699193E-2</v>
      </c>
      <c r="M106" s="164">
        <v>1437.1</v>
      </c>
      <c r="N106" s="50">
        <f t="shared" si="15"/>
        <v>1.9509080590238259E-2</v>
      </c>
      <c r="P106" s="164">
        <v>3762.6</v>
      </c>
      <c r="Q106" s="50">
        <f t="shared" si="16"/>
        <v>-1.8238747553816048E-2</v>
      </c>
      <c r="S106" s="172">
        <v>46194</v>
      </c>
      <c r="T106" s="164">
        <v>24056</v>
      </c>
      <c r="U106" s="50">
        <f t="shared" si="17"/>
        <v>1.7865248551833801E-3</v>
      </c>
    </row>
    <row r="107" spans="2:21" ht="15" customHeight="1" x14ac:dyDescent="0.2">
      <c r="B107" s="163">
        <v>46201</v>
      </c>
      <c r="C107" s="172"/>
      <c r="D107" s="164">
        <v>2093.5</v>
      </c>
      <c r="E107" s="50">
        <f t="shared" ref="E107:E138" si="18">D107/D106-1</f>
        <v>-5.7287439728825884E-4</v>
      </c>
      <c r="G107" s="164">
        <v>1139</v>
      </c>
      <c r="H107" s="50">
        <f t="shared" ref="H107:H138" si="19">G107/G106-1</f>
        <v>3.4796038884346236E-2</v>
      </c>
      <c r="J107">
        <v>176.08</v>
      </c>
      <c r="K107" s="50">
        <f t="shared" ref="K107:K138" si="20">J107/J106-1</f>
        <v>6.1714285714287165E-3</v>
      </c>
      <c r="M107" s="164">
        <v>1410.1</v>
      </c>
      <c r="N107" s="50">
        <f t="shared" ref="N107:N138" si="21">M107/M106-1</f>
        <v>-1.8787836615406062E-2</v>
      </c>
      <c r="P107" s="164">
        <v>3757.8</v>
      </c>
      <c r="Q107" s="50">
        <f t="shared" ref="Q107:Q138" si="22">P107/P106-1</f>
        <v>-1.275713602296169E-3</v>
      </c>
      <c r="S107" s="172">
        <v>46201</v>
      </c>
      <c r="T107" s="164">
        <v>24270.85</v>
      </c>
      <c r="U107" s="50">
        <f t="shared" ref="U107:U138" si="23">T107/T106-1</f>
        <v>8.9312437645492349E-3</v>
      </c>
    </row>
    <row r="108" spans="2:21" ht="15" customHeight="1" x14ac:dyDescent="0.2">
      <c r="B108" s="163">
        <v>46208</v>
      </c>
      <c r="C108" s="172"/>
      <c r="D108" s="164">
        <v>2069</v>
      </c>
      <c r="E108" s="50">
        <f t="shared" si="18"/>
        <v>-1.1702889897301172E-2</v>
      </c>
      <c r="G108" s="164">
        <v>1164.0999999999999</v>
      </c>
      <c r="H108" s="50">
        <f t="shared" si="19"/>
        <v>2.2036874451272892E-2</v>
      </c>
      <c r="J108">
        <v>175.46</v>
      </c>
      <c r="K108" s="50">
        <f t="shared" si="20"/>
        <v>-3.5211267605633756E-3</v>
      </c>
      <c r="M108" s="164">
        <v>1454.8</v>
      </c>
      <c r="N108" s="50">
        <f t="shared" si="21"/>
        <v>3.1699879441174472E-2</v>
      </c>
      <c r="P108" s="164">
        <v>4037.2</v>
      </c>
      <c r="Q108" s="50">
        <f t="shared" si="22"/>
        <v>7.4352014476555262E-2</v>
      </c>
      <c r="S108" s="172">
        <v>46208</v>
      </c>
      <c r="T108" s="164">
        <v>24206.9</v>
      </c>
      <c r="U108" s="50">
        <f t="shared" si="23"/>
        <v>-2.6348479760699428E-3</v>
      </c>
    </row>
    <row r="109" spans="2:21" ht="15" customHeight="1" x14ac:dyDescent="0.2">
      <c r="B109" s="163">
        <v>46215</v>
      </c>
      <c r="C109" s="172"/>
      <c r="D109" s="164">
        <v>2269</v>
      </c>
      <c r="E109" s="50">
        <f t="shared" si="18"/>
        <v>9.66650555824069E-2</v>
      </c>
      <c r="G109" s="164">
        <v>1203.9000000000001</v>
      </c>
      <c r="H109" s="50">
        <f t="shared" si="19"/>
        <v>3.418950262005005E-2</v>
      </c>
      <c r="J109">
        <v>176</v>
      </c>
      <c r="K109" s="50">
        <f t="shared" si="20"/>
        <v>3.0776245298074212E-3</v>
      </c>
      <c r="M109" s="164">
        <v>1572.9</v>
      </c>
      <c r="N109" s="50">
        <f t="shared" si="21"/>
        <v>8.117954357987367E-2</v>
      </c>
      <c r="P109" s="164">
        <v>4075.6</v>
      </c>
      <c r="Q109" s="50">
        <f t="shared" si="22"/>
        <v>9.511542653324101E-3</v>
      </c>
      <c r="S109" s="172">
        <v>46215</v>
      </c>
      <c r="T109" s="164">
        <v>24334.3</v>
      </c>
      <c r="U109" s="50">
        <f t="shared" si="23"/>
        <v>5.262962213253175E-3</v>
      </c>
    </row>
    <row r="110" spans="2:21" ht="15" customHeight="1" x14ac:dyDescent="0.2">
      <c r="B110" s="163">
        <v>46222</v>
      </c>
      <c r="C110" s="172"/>
      <c r="D110" s="164">
        <v>2254.3000000000002</v>
      </c>
      <c r="E110" s="50">
        <f t="shared" si="18"/>
        <v>-6.4786249449095834E-3</v>
      </c>
      <c r="G110" s="164">
        <v>1271</v>
      </c>
      <c r="H110" s="50">
        <f t="shared" si="19"/>
        <v>5.5735526206495578E-2</v>
      </c>
      <c r="J110">
        <v>177.12</v>
      </c>
      <c r="K110" s="50">
        <f t="shared" si="20"/>
        <v>6.3636363636363491E-3</v>
      </c>
      <c r="M110" s="164">
        <v>1559.5</v>
      </c>
      <c r="N110" s="50">
        <f t="shared" si="21"/>
        <v>-8.5192955686947958E-3</v>
      </c>
      <c r="P110" s="164">
        <v>4091.8</v>
      </c>
      <c r="Q110" s="50">
        <f t="shared" si="22"/>
        <v>3.9748748650505483E-3</v>
      </c>
      <c r="S110" s="172">
        <v>46222</v>
      </c>
      <c r="T110" s="164">
        <v>23767.45</v>
      </c>
      <c r="U110" s="50">
        <f t="shared" si="23"/>
        <v>-2.3294280090242925E-2</v>
      </c>
    </row>
    <row r="111" spans="2:21" ht="15" customHeight="1" x14ac:dyDescent="0.2">
      <c r="B111" s="163">
        <v>46229</v>
      </c>
      <c r="C111" s="172"/>
      <c r="D111" s="164">
        <v>2365.6</v>
      </c>
      <c r="E111" s="50">
        <f t="shared" si="18"/>
        <v>4.9372310695115829E-2</v>
      </c>
      <c r="G111" s="164">
        <v>1346.9</v>
      </c>
      <c r="H111" s="50">
        <f t="shared" si="19"/>
        <v>5.9716758457907249E-2</v>
      </c>
      <c r="J111">
        <v>183.65</v>
      </c>
      <c r="K111" s="50">
        <f t="shared" si="20"/>
        <v>3.6867660343270048E-2</v>
      </c>
      <c r="M111" s="164">
        <v>1651.3</v>
      </c>
      <c r="N111" s="50">
        <f t="shared" si="21"/>
        <v>5.8865020840012772E-2</v>
      </c>
      <c r="P111" s="164">
        <v>4362.1000000000004</v>
      </c>
      <c r="Q111" s="50">
        <f t="shared" si="22"/>
        <v>6.6058947162618065E-2</v>
      </c>
      <c r="S111" s="172">
        <v>46229</v>
      </c>
      <c r="T111" s="164">
        <v>24383.599999999999</v>
      </c>
      <c r="U111" s="50">
        <f t="shared" si="23"/>
        <v>2.5924110495656683E-2</v>
      </c>
    </row>
    <row r="112" spans="2:21" ht="15" customHeight="1" x14ac:dyDescent="0.2">
      <c r="B112" s="163">
        <v>46236</v>
      </c>
      <c r="C112" s="172"/>
      <c r="D112" s="164">
        <v>2452.6999999999998</v>
      </c>
      <c r="E112" s="50">
        <f t="shared" si="18"/>
        <v>3.6819411565776061E-2</v>
      </c>
      <c r="G112" s="164">
        <v>1356.6</v>
      </c>
      <c r="H112" s="50">
        <f t="shared" si="19"/>
        <v>7.2017224738285535E-3</v>
      </c>
      <c r="J112">
        <v>187.53</v>
      </c>
      <c r="K112" s="50">
        <f t="shared" si="20"/>
        <v>2.1127144023958655E-2</v>
      </c>
      <c r="M112" s="164">
        <v>1635</v>
      </c>
      <c r="N112" s="50">
        <f t="shared" si="21"/>
        <v>-9.8710107188275664E-3</v>
      </c>
      <c r="P112" s="164">
        <v>4658.1000000000004</v>
      </c>
      <c r="Q112" s="50">
        <f t="shared" si="22"/>
        <v>6.7857224731207477E-2</v>
      </c>
      <c r="S112" s="172">
        <v>46236</v>
      </c>
      <c r="T112" s="164">
        <v>24570.65</v>
      </c>
      <c r="U112" s="50">
        <f t="shared" si="23"/>
        <v>7.6711396184321323E-3</v>
      </c>
    </row>
    <row r="113" spans="2:21" ht="15" customHeight="1" x14ac:dyDescent="0.2">
      <c r="B113" s="163">
        <v>46243</v>
      </c>
      <c r="C113" s="172"/>
      <c r="D113" s="164">
        <v>2361</v>
      </c>
      <c r="E113" s="50">
        <f t="shared" si="18"/>
        <v>-3.7387369021894212E-2</v>
      </c>
      <c r="G113" s="164">
        <v>1360</v>
      </c>
      <c r="H113" s="50">
        <f t="shared" si="19"/>
        <v>2.5062656641605674E-3</v>
      </c>
      <c r="J113">
        <v>184</v>
      </c>
      <c r="K113" s="50">
        <f t="shared" si="20"/>
        <v>-1.8823654881885532E-2</v>
      </c>
      <c r="M113" s="164">
        <v>1632.8</v>
      </c>
      <c r="N113" s="50">
        <f t="shared" si="21"/>
        <v>-1.3455657492355E-3</v>
      </c>
      <c r="P113" s="164">
        <v>4715</v>
      </c>
      <c r="Q113" s="50">
        <f t="shared" si="22"/>
        <v>1.221528090852475E-2</v>
      </c>
      <c r="S113" s="172">
        <v>46243</v>
      </c>
      <c r="T113" s="164">
        <v>24366</v>
      </c>
      <c r="U113" s="50">
        <f t="shared" si="23"/>
        <v>-8.3290429842108882E-3</v>
      </c>
    </row>
    <row r="114" spans="2:21" ht="15" customHeight="1" x14ac:dyDescent="0.2">
      <c r="B114" s="163">
        <v>46250</v>
      </c>
      <c r="C114" s="172"/>
      <c r="D114" s="164">
        <v>2302</v>
      </c>
      <c r="E114" s="50">
        <f t="shared" si="18"/>
        <v>-2.498941126641252E-2</v>
      </c>
      <c r="G114" s="164">
        <v>1302.5</v>
      </c>
      <c r="H114" s="50">
        <f t="shared" si="19"/>
        <v>-4.2279411764705843E-2</v>
      </c>
      <c r="J114">
        <v>180.79</v>
      </c>
      <c r="K114" s="50">
        <f t="shared" si="20"/>
        <v>-1.744565217391314E-2</v>
      </c>
      <c r="M114" s="164">
        <v>1584</v>
      </c>
      <c r="N114" s="50">
        <f t="shared" si="21"/>
        <v>-2.9887310142087231E-2</v>
      </c>
      <c r="P114" s="164">
        <v>4487.8</v>
      </c>
      <c r="Q114" s="50">
        <f t="shared" si="22"/>
        <v>-4.8186638388122982E-2</v>
      </c>
      <c r="S114" s="172">
        <v>46250</v>
      </c>
      <c r="T114" s="164">
        <v>24252</v>
      </c>
      <c r="U114" s="50">
        <f t="shared" si="23"/>
        <v>-4.6786505786752253E-3</v>
      </c>
    </row>
    <row r="115" spans="2:21" x14ac:dyDescent="0.2">
      <c r="B115" s="163"/>
      <c r="D115" s="164"/>
      <c r="G115" s="164"/>
    </row>
    <row r="116" spans="2:21" ht="15" customHeight="1" x14ac:dyDescent="0.2">
      <c r="D116" s="54" t="s">
        <v>668</v>
      </c>
      <c r="E116" s="173">
        <f>C135</f>
        <v>0.88127551589723496</v>
      </c>
      <c r="F116" s="54"/>
      <c r="G116" s="54" t="s">
        <v>669</v>
      </c>
      <c r="H116" s="173">
        <f>C154</f>
        <v>0.81276296149595595</v>
      </c>
      <c r="I116" s="54"/>
      <c r="J116" s="54" t="s">
        <v>670</v>
      </c>
      <c r="K116" s="173">
        <f>C173</f>
        <v>0.74467100135243203</v>
      </c>
      <c r="L116" s="54"/>
      <c r="M116" s="54" t="s">
        <v>671</v>
      </c>
      <c r="N116" s="173">
        <f>N135</f>
        <v>0.71337806177556495</v>
      </c>
      <c r="O116" s="54"/>
      <c r="P116" s="54" t="s">
        <v>672</v>
      </c>
      <c r="Q116" s="173">
        <f>N154</f>
        <v>1.1723378615544799</v>
      </c>
    </row>
    <row r="118" spans="2:21" ht="15" hidden="1" customHeight="1" outlineLevel="1" x14ac:dyDescent="0.2">
      <c r="B118" t="s">
        <v>673</v>
      </c>
      <c r="M118" t="s">
        <v>674</v>
      </c>
    </row>
    <row r="119" spans="2:21" ht="15.75" hidden="1" customHeight="1" outlineLevel="1" x14ac:dyDescent="0.2"/>
    <row r="120" spans="2:21" ht="15" hidden="1" customHeight="1" outlineLevel="1" x14ac:dyDescent="0.2">
      <c r="B120" s="280" t="s">
        <v>639</v>
      </c>
      <c r="C120" s="280"/>
      <c r="K120" s="282"/>
      <c r="L120" s="282"/>
      <c r="M120" s="280" t="s">
        <v>639</v>
      </c>
      <c r="N120" s="280"/>
    </row>
    <row r="121" spans="2:21" ht="15" hidden="1" customHeight="1" outlineLevel="1" x14ac:dyDescent="0.2">
      <c r="B121" t="s">
        <v>640</v>
      </c>
      <c r="C121">
        <v>0.50947481246021598</v>
      </c>
      <c r="M121" t="s">
        <v>640</v>
      </c>
      <c r="N121">
        <v>0.339920157346223</v>
      </c>
    </row>
    <row r="122" spans="2:21" ht="15" hidden="1" customHeight="1" outlineLevel="1" x14ac:dyDescent="0.2">
      <c r="B122" t="s">
        <v>641</v>
      </c>
      <c r="C122">
        <v>0.25956458453137299</v>
      </c>
      <c r="M122" t="s">
        <v>641</v>
      </c>
      <c r="N122">
        <v>0.11554571337028099</v>
      </c>
    </row>
    <row r="123" spans="2:21" ht="15" hidden="1" customHeight="1" outlineLevel="1" x14ac:dyDescent="0.2">
      <c r="B123" t="s">
        <v>642</v>
      </c>
      <c r="C123">
        <v>0.25230541379148402</v>
      </c>
      <c r="M123" t="s">
        <v>642</v>
      </c>
      <c r="N123">
        <v>0.106874592913127</v>
      </c>
    </row>
    <row r="124" spans="2:21" ht="15" hidden="1" customHeight="1" outlineLevel="1" x14ac:dyDescent="0.2">
      <c r="B124" t="s">
        <v>643</v>
      </c>
      <c r="C124">
        <v>2.7435144550255801E-2</v>
      </c>
      <c r="M124" t="s">
        <v>643</v>
      </c>
      <c r="N124">
        <v>3.6379372254489402E-2</v>
      </c>
    </row>
    <row r="125" spans="2:21" ht="15.75" hidden="1" customHeight="1" outlineLevel="1" x14ac:dyDescent="0.2">
      <c r="B125" s="168" t="s">
        <v>644</v>
      </c>
      <c r="C125" s="168">
        <v>104</v>
      </c>
      <c r="M125" s="168" t="s">
        <v>644</v>
      </c>
      <c r="N125" s="168">
        <v>104</v>
      </c>
    </row>
    <row r="126" spans="2:21" hidden="1" outlineLevel="1" x14ac:dyDescent="0.2"/>
    <row r="127" spans="2:21" ht="15.75" hidden="1" customHeight="1" outlineLevel="1" x14ac:dyDescent="0.2">
      <c r="B127" t="s">
        <v>645</v>
      </c>
      <c r="M127" t="s">
        <v>645</v>
      </c>
    </row>
    <row r="128" spans="2:21" ht="15" hidden="1" customHeight="1" outlineLevel="1" x14ac:dyDescent="0.2">
      <c r="B128" s="167"/>
      <c r="C128" s="167" t="s">
        <v>646</v>
      </c>
      <c r="D128" s="167" t="s">
        <v>647</v>
      </c>
      <c r="E128" s="167" t="s">
        <v>648</v>
      </c>
      <c r="F128" s="167" t="s">
        <v>649</v>
      </c>
      <c r="G128" s="167" t="s">
        <v>650</v>
      </c>
      <c r="K128" s="174"/>
      <c r="L128" s="174"/>
      <c r="M128" s="167"/>
      <c r="N128" s="167" t="s">
        <v>646</v>
      </c>
      <c r="O128" s="167" t="s">
        <v>647</v>
      </c>
      <c r="P128" s="167" t="s">
        <v>648</v>
      </c>
      <c r="Q128" s="167" t="s">
        <v>649</v>
      </c>
      <c r="R128" s="167" t="s">
        <v>650</v>
      </c>
    </row>
    <row r="129" spans="2:21" ht="15" hidden="1" customHeight="1" outlineLevel="1" x14ac:dyDescent="0.2">
      <c r="B129" t="s">
        <v>651</v>
      </c>
      <c r="C129">
        <v>1</v>
      </c>
      <c r="D129">
        <v>2.6913670453261498E-2</v>
      </c>
      <c r="E129">
        <v>2.6913670453261498E-2</v>
      </c>
      <c r="F129">
        <v>35.756781846318603</v>
      </c>
      <c r="G129">
        <v>3.3273409858280001E-8</v>
      </c>
      <c r="M129" t="s">
        <v>651</v>
      </c>
      <c r="N129">
        <v>1</v>
      </c>
      <c r="O129">
        <v>1.7635550483323902E-2</v>
      </c>
      <c r="P129">
        <v>1.7635550483323902E-2</v>
      </c>
      <c r="Q129">
        <v>13.325349813927501</v>
      </c>
      <c r="R129">
        <v>4.15003662881109E-4</v>
      </c>
    </row>
    <row r="130" spans="2:21" ht="15" hidden="1" customHeight="1" outlineLevel="1" x14ac:dyDescent="0.2">
      <c r="B130" t="s">
        <v>652</v>
      </c>
      <c r="C130">
        <v>102</v>
      </c>
      <c r="D130">
        <v>7.6774089962330094E-2</v>
      </c>
      <c r="E130">
        <v>7.5268715649343197E-4</v>
      </c>
      <c r="M130" t="s">
        <v>652</v>
      </c>
      <c r="N130">
        <v>102</v>
      </c>
      <c r="O130">
        <v>0.13499279001433301</v>
      </c>
      <c r="P130">
        <v>1.32345872563071E-3</v>
      </c>
    </row>
    <row r="131" spans="2:21" ht="15.75" hidden="1" customHeight="1" outlineLevel="1" x14ac:dyDescent="0.2">
      <c r="B131" s="168" t="s">
        <v>276</v>
      </c>
      <c r="C131" s="168">
        <v>103</v>
      </c>
      <c r="D131" s="168">
        <v>0.103687760415592</v>
      </c>
      <c r="E131" s="168"/>
      <c r="F131" s="168"/>
      <c r="G131" s="168"/>
      <c r="M131" s="168" t="s">
        <v>276</v>
      </c>
      <c r="N131" s="168">
        <v>103</v>
      </c>
      <c r="O131" s="168">
        <v>0.152628340497657</v>
      </c>
      <c r="P131" s="168"/>
      <c r="Q131" s="168"/>
      <c r="R131" s="168"/>
    </row>
    <row r="132" spans="2:21" ht="15.75" hidden="1" customHeight="1" outlineLevel="1" x14ac:dyDescent="0.2"/>
    <row r="133" spans="2:21" ht="15" hidden="1" customHeight="1" outlineLevel="1" x14ac:dyDescent="0.2">
      <c r="B133" s="167"/>
      <c r="C133" s="167" t="s">
        <v>653</v>
      </c>
      <c r="D133" s="167" t="s">
        <v>643</v>
      </c>
      <c r="E133" s="167" t="s">
        <v>654</v>
      </c>
      <c r="F133" s="167" t="s">
        <v>655</v>
      </c>
      <c r="G133" s="167" t="s">
        <v>656</v>
      </c>
      <c r="H133" s="167" t="s">
        <v>657</v>
      </c>
      <c r="I133" s="167" t="s">
        <v>658</v>
      </c>
      <c r="J133" s="167" t="s">
        <v>659</v>
      </c>
      <c r="K133" s="174"/>
      <c r="L133" s="174"/>
      <c r="M133" s="167"/>
      <c r="N133" s="167" t="s">
        <v>653</v>
      </c>
      <c r="O133" s="167" t="s">
        <v>643</v>
      </c>
      <c r="P133" s="167" t="s">
        <v>654</v>
      </c>
      <c r="Q133" s="167" t="s">
        <v>655</v>
      </c>
      <c r="R133" s="167" t="s">
        <v>656</v>
      </c>
      <c r="S133" s="167" t="s">
        <v>657</v>
      </c>
      <c r="T133" s="167" t="s">
        <v>658</v>
      </c>
      <c r="U133" s="167" t="s">
        <v>659</v>
      </c>
    </row>
    <row r="134" spans="2:21" ht="15" hidden="1" customHeight="1" outlineLevel="1" x14ac:dyDescent="0.2">
      <c r="B134" t="s">
        <v>660</v>
      </c>
      <c r="C134">
        <v>-5.6418349650233001E-3</v>
      </c>
      <c r="D134">
        <v>2.6902503916127599E-3</v>
      </c>
      <c r="E134">
        <v>-2.0971412113209</v>
      </c>
      <c r="F134">
        <v>3.84535879474001E-2</v>
      </c>
      <c r="G134">
        <v>-1.09779338611341E-2</v>
      </c>
      <c r="H134">
        <v>-3.0573606891246398E-4</v>
      </c>
      <c r="I134">
        <v>-1.09779338611341E-2</v>
      </c>
      <c r="J134">
        <v>-3.0573606891246398E-4</v>
      </c>
      <c r="M134" t="s">
        <v>660</v>
      </c>
      <c r="N134">
        <v>6.90866613508783E-4</v>
      </c>
      <c r="O134">
        <v>3.5673083578979599E-3</v>
      </c>
      <c r="P134">
        <v>0.19366607654738199</v>
      </c>
      <c r="Q134">
        <v>0.84682250285872696</v>
      </c>
      <c r="R134">
        <v>-6.38487260021356E-3</v>
      </c>
      <c r="S134">
        <v>7.7666058272311198E-3</v>
      </c>
      <c r="T134">
        <v>-6.38487260021356E-3</v>
      </c>
      <c r="U134">
        <v>7.7666058272311198E-3</v>
      </c>
    </row>
    <row r="135" spans="2:21" ht="15.75" hidden="1" customHeight="1" outlineLevel="1" x14ac:dyDescent="0.2">
      <c r="B135" s="168" t="s">
        <v>661</v>
      </c>
      <c r="C135" s="168">
        <v>0.88127551589723496</v>
      </c>
      <c r="D135" s="168">
        <v>0.14737794347474101</v>
      </c>
      <c r="E135" s="168">
        <v>5.9796974711367001</v>
      </c>
      <c r="F135" s="168">
        <v>3.3273409858279398E-8</v>
      </c>
      <c r="G135" s="168">
        <v>0.58895206379833798</v>
      </c>
      <c r="H135" s="168">
        <v>1.1735989679961301</v>
      </c>
      <c r="I135" s="168">
        <v>0.58895206379833798</v>
      </c>
      <c r="J135" s="168">
        <v>1.1735989679961301</v>
      </c>
      <c r="M135" s="168" t="s">
        <v>661</v>
      </c>
      <c r="N135" s="168">
        <v>0.71337806177556495</v>
      </c>
      <c r="O135" s="168">
        <v>0.19542514375848999</v>
      </c>
      <c r="P135" s="168">
        <v>3.6503903645949101</v>
      </c>
      <c r="Q135" s="168">
        <v>4.1500366288113399E-4</v>
      </c>
      <c r="R135" s="168">
        <v>0.32575321572663202</v>
      </c>
      <c r="S135" s="168">
        <v>1.1010029078245001</v>
      </c>
      <c r="T135" s="168">
        <v>0.32575321572663202</v>
      </c>
      <c r="U135" s="168">
        <v>1.1010029078245001</v>
      </c>
    </row>
    <row r="136" spans="2:21" hidden="1" outlineLevel="1" x14ac:dyDescent="0.2"/>
    <row r="137" spans="2:21" hidden="1" outlineLevel="1" x14ac:dyDescent="0.2">
      <c r="B137" t="s">
        <v>675</v>
      </c>
      <c r="M137" t="s">
        <v>676</v>
      </c>
    </row>
    <row r="138" spans="2:21" ht="15.75" hidden="1" customHeight="1" outlineLevel="1" x14ac:dyDescent="0.2"/>
    <row r="139" spans="2:21" hidden="1" outlineLevel="1" x14ac:dyDescent="0.2">
      <c r="B139" s="280" t="s">
        <v>639</v>
      </c>
      <c r="C139" s="280"/>
      <c r="M139" s="280" t="s">
        <v>639</v>
      </c>
      <c r="N139" s="280"/>
    </row>
    <row r="140" spans="2:21" ht="15" hidden="1" customHeight="1" outlineLevel="1" x14ac:dyDescent="0.2">
      <c r="B140" t="s">
        <v>640</v>
      </c>
      <c r="C140">
        <v>0.38928755448217101</v>
      </c>
      <c r="M140" t="s">
        <v>640</v>
      </c>
      <c r="N140">
        <v>0.49530311061391102</v>
      </c>
    </row>
    <row r="141" spans="2:21" ht="15.75" hidden="1" customHeight="1" outlineLevel="1" x14ac:dyDescent="0.2">
      <c r="B141" t="s">
        <v>641</v>
      </c>
      <c r="C141">
        <v>0.15154480007471</v>
      </c>
      <c r="M141" t="s">
        <v>641</v>
      </c>
      <c r="N141">
        <v>0.24532517138381599</v>
      </c>
    </row>
    <row r="142" spans="2:21" ht="15" hidden="1" customHeight="1" outlineLevel="1" x14ac:dyDescent="0.2">
      <c r="B142" t="s">
        <v>642</v>
      </c>
      <c r="C142">
        <v>0.14322661184014801</v>
      </c>
      <c r="M142" t="s">
        <v>642</v>
      </c>
      <c r="N142">
        <v>0.23792639855424599</v>
      </c>
    </row>
    <row r="143" spans="2:21" ht="15" hidden="1" customHeight="1" outlineLevel="1" x14ac:dyDescent="0.2">
      <c r="B143" t="s">
        <v>643</v>
      </c>
      <c r="C143">
        <v>3.5447247468823398E-2</v>
      </c>
      <c r="M143" t="s">
        <v>643</v>
      </c>
      <c r="N143">
        <v>3.7899749793455E-2</v>
      </c>
    </row>
    <row r="144" spans="2:21" ht="15" hidden="1" customHeight="1" outlineLevel="1" x14ac:dyDescent="0.2">
      <c r="B144" s="168" t="s">
        <v>644</v>
      </c>
      <c r="C144" s="168">
        <v>104</v>
      </c>
      <c r="M144" s="168" t="s">
        <v>644</v>
      </c>
      <c r="N144" s="168">
        <v>104</v>
      </c>
    </row>
    <row r="145" spans="2:21" ht="15" hidden="1" customHeight="1" outlineLevel="1" x14ac:dyDescent="0.2"/>
    <row r="146" spans="2:21" ht="15" hidden="1" customHeight="1" outlineLevel="1" x14ac:dyDescent="0.2">
      <c r="B146" t="s">
        <v>645</v>
      </c>
      <c r="M146" t="s">
        <v>645</v>
      </c>
    </row>
    <row r="147" spans="2:21" ht="15.75" hidden="1" customHeight="1" outlineLevel="1" x14ac:dyDescent="0.2">
      <c r="B147" s="167"/>
      <c r="C147" s="167" t="s">
        <v>646</v>
      </c>
      <c r="D147" s="167" t="s">
        <v>647</v>
      </c>
      <c r="E147" s="167" t="s">
        <v>648</v>
      </c>
      <c r="F147" s="167" t="s">
        <v>649</v>
      </c>
      <c r="G147" s="167" t="s">
        <v>650</v>
      </c>
      <c r="M147" s="167"/>
      <c r="N147" s="167" t="s">
        <v>646</v>
      </c>
      <c r="O147" s="167" t="s">
        <v>647</v>
      </c>
      <c r="P147" s="167" t="s">
        <v>648</v>
      </c>
      <c r="Q147" s="167" t="s">
        <v>649</v>
      </c>
      <c r="R147" s="167" t="s">
        <v>650</v>
      </c>
    </row>
    <row r="148" spans="2:21" hidden="1" outlineLevel="1" x14ac:dyDescent="0.2">
      <c r="B148" t="s">
        <v>651</v>
      </c>
      <c r="C148">
        <v>1</v>
      </c>
      <c r="D148">
        <v>2.2891662252748E-2</v>
      </c>
      <c r="E148">
        <v>2.2891662252748E-2</v>
      </c>
      <c r="F148">
        <v>18.2184865022708</v>
      </c>
      <c r="G148">
        <v>4.4206919404812899E-5</v>
      </c>
      <c r="M148" t="s">
        <v>651</v>
      </c>
      <c r="N148">
        <v>1</v>
      </c>
      <c r="O148">
        <v>4.7627205863328199E-2</v>
      </c>
      <c r="P148">
        <v>4.7627205863328199E-2</v>
      </c>
      <c r="Q148">
        <v>33.157548830710603</v>
      </c>
      <c r="R148">
        <v>9.0246608922980497E-8</v>
      </c>
    </row>
    <row r="149" spans="2:21" ht="15.75" hidden="1" customHeight="1" outlineLevel="1" x14ac:dyDescent="0.2">
      <c r="B149" t="s">
        <v>652</v>
      </c>
      <c r="C149">
        <v>102</v>
      </c>
      <c r="D149">
        <v>0.12816375001783301</v>
      </c>
      <c r="E149">
        <v>1.25650735311601E-3</v>
      </c>
      <c r="M149" t="s">
        <v>652</v>
      </c>
      <c r="N149">
        <v>102</v>
      </c>
      <c r="O149">
        <v>0.14651188550946301</v>
      </c>
      <c r="P149">
        <v>1.4363910344065E-3</v>
      </c>
    </row>
    <row r="150" spans="2:21" ht="15" hidden="1" customHeight="1" outlineLevel="1" x14ac:dyDescent="0.2">
      <c r="B150" s="168" t="s">
        <v>276</v>
      </c>
      <c r="C150" s="168">
        <v>103</v>
      </c>
      <c r="D150" s="168">
        <v>0.151055412270581</v>
      </c>
      <c r="E150" s="168"/>
      <c r="F150" s="168"/>
      <c r="G150" s="168"/>
      <c r="M150" s="168" t="s">
        <v>276</v>
      </c>
      <c r="N150" s="168">
        <v>103</v>
      </c>
      <c r="O150" s="168">
        <v>0.19413909137279101</v>
      </c>
      <c r="P150" s="168"/>
      <c r="Q150" s="168"/>
      <c r="R150" s="168"/>
    </row>
    <row r="151" spans="2:21" ht="15" hidden="1" customHeight="1" outlineLevel="1" x14ac:dyDescent="0.2"/>
    <row r="152" spans="2:21" ht="15" hidden="1" customHeight="1" outlineLevel="1" x14ac:dyDescent="0.2">
      <c r="B152" s="167"/>
      <c r="C152" s="167" t="s">
        <v>653</v>
      </c>
      <c r="D152" s="167" t="s">
        <v>643</v>
      </c>
      <c r="E152" s="167" t="s">
        <v>654</v>
      </c>
      <c r="F152" s="167" t="s">
        <v>655</v>
      </c>
      <c r="G152" s="167" t="s">
        <v>656</v>
      </c>
      <c r="H152" s="167" t="s">
        <v>657</v>
      </c>
      <c r="I152" s="167" t="s">
        <v>658</v>
      </c>
      <c r="J152" s="167" t="s">
        <v>659</v>
      </c>
      <c r="M152" s="167"/>
      <c r="N152" s="167" t="s">
        <v>653</v>
      </c>
      <c r="O152" s="167" t="s">
        <v>643</v>
      </c>
      <c r="P152" s="167" t="s">
        <v>654</v>
      </c>
      <c r="Q152" s="167" t="s">
        <v>655</v>
      </c>
      <c r="R152" s="167" t="s">
        <v>656</v>
      </c>
      <c r="S152" s="167" t="s">
        <v>657</v>
      </c>
      <c r="T152" s="167" t="s">
        <v>658</v>
      </c>
      <c r="U152" s="167" t="s">
        <v>659</v>
      </c>
    </row>
    <row r="153" spans="2:21" ht="15.75" hidden="1" customHeight="1" outlineLevel="1" x14ac:dyDescent="0.2">
      <c r="B153" t="s">
        <v>660</v>
      </c>
      <c r="C153">
        <v>-1.5107662947939401E-3</v>
      </c>
      <c r="D153">
        <v>3.4759055564628802E-3</v>
      </c>
      <c r="E153">
        <v>-0.43463962707068299</v>
      </c>
      <c r="F153">
        <v>0.66474216537341302</v>
      </c>
      <c r="G153">
        <v>-8.4052084852504292E-3</v>
      </c>
      <c r="H153">
        <v>5.3836758956625503E-3</v>
      </c>
      <c r="I153">
        <v>-8.4052084852504292E-3</v>
      </c>
      <c r="J153">
        <v>5.3836758956625503E-3</v>
      </c>
      <c r="M153" t="s">
        <v>660</v>
      </c>
      <c r="N153">
        <v>-1.1791716773169899E-3</v>
      </c>
      <c r="O153">
        <v>3.7163943691675199E-3</v>
      </c>
      <c r="P153">
        <v>-0.31728916799029699</v>
      </c>
      <c r="Q153">
        <v>0.75167275625232899</v>
      </c>
      <c r="R153">
        <v>-8.5506222875105595E-3</v>
      </c>
      <c r="S153">
        <v>6.1922789328765901E-3</v>
      </c>
      <c r="T153">
        <v>-8.5506222875105595E-3</v>
      </c>
      <c r="U153">
        <v>6.1922789328765901E-3</v>
      </c>
    </row>
    <row r="154" spans="2:21" ht="15.75" hidden="1" customHeight="1" outlineLevel="1" x14ac:dyDescent="0.2">
      <c r="B154" s="168" t="s">
        <v>661</v>
      </c>
      <c r="C154" s="168">
        <v>0.81276296149595595</v>
      </c>
      <c r="D154" s="168">
        <v>0.190417893524337</v>
      </c>
      <c r="E154" s="168">
        <v>4.2683119031147099</v>
      </c>
      <c r="F154" s="168">
        <v>4.4206919404814803E-5</v>
      </c>
      <c r="G154" s="168">
        <v>0.43506997254490198</v>
      </c>
      <c r="H154" s="168">
        <v>1.19045595044701</v>
      </c>
      <c r="I154" s="168">
        <v>0.43506997254490198</v>
      </c>
      <c r="J154" s="168">
        <v>1.19045595044701</v>
      </c>
      <c r="M154" s="168" t="s">
        <v>661</v>
      </c>
      <c r="N154" s="168">
        <v>1.1723378615544799</v>
      </c>
      <c r="O154" s="168">
        <v>0.203592409456233</v>
      </c>
      <c r="P154" s="168">
        <v>5.7582591840512398</v>
      </c>
      <c r="Q154" s="168">
        <v>9.0246608922984004E-8</v>
      </c>
      <c r="R154" s="168">
        <v>0.76851328271864405</v>
      </c>
      <c r="S154" s="168">
        <v>1.5761624403903101</v>
      </c>
      <c r="T154" s="168">
        <v>0.76851328271864405</v>
      </c>
      <c r="U154" s="168">
        <v>1.5761624403903101</v>
      </c>
    </row>
    <row r="155" spans="2:21" ht="15" hidden="1" customHeight="1" outlineLevel="1" x14ac:dyDescent="0.2">
      <c r="K155" s="174"/>
    </row>
    <row r="156" spans="2:21" ht="15" hidden="1" customHeight="1" outlineLevel="1" x14ac:dyDescent="0.2">
      <c r="B156" t="s">
        <v>677</v>
      </c>
    </row>
    <row r="157" spans="2:21" ht="15.75" hidden="1" customHeight="1" outlineLevel="1" x14ac:dyDescent="0.2"/>
    <row r="158" spans="2:21" hidden="1" outlineLevel="1" x14ac:dyDescent="0.2">
      <c r="B158" s="280" t="s">
        <v>639</v>
      </c>
      <c r="C158" s="280"/>
    </row>
    <row r="159" spans="2:21" hidden="1" outlineLevel="1" x14ac:dyDescent="0.2">
      <c r="B159" t="s">
        <v>640</v>
      </c>
      <c r="C159">
        <v>0.375421002794395</v>
      </c>
    </row>
    <row r="160" spans="2:21" ht="15" hidden="1" customHeight="1" outlineLevel="1" x14ac:dyDescent="0.2">
      <c r="B160" t="s">
        <v>641</v>
      </c>
      <c r="C160">
        <v>0.14094092933914901</v>
      </c>
    </row>
    <row r="161" spans="2:11" ht="15.75" hidden="1" customHeight="1" outlineLevel="1" x14ac:dyDescent="0.2">
      <c r="B161" t="s">
        <v>642</v>
      </c>
      <c r="C161">
        <v>0.13251878158757199</v>
      </c>
    </row>
    <row r="162" spans="2:11" ht="15" hidden="1" customHeight="1" outlineLevel="1" x14ac:dyDescent="0.2">
      <c r="B162" t="s">
        <v>643</v>
      </c>
      <c r="C162">
        <v>3.38869175045695E-2</v>
      </c>
    </row>
    <row r="163" spans="2:11" ht="15" hidden="1" customHeight="1" outlineLevel="1" x14ac:dyDescent="0.2">
      <c r="B163" s="168" t="s">
        <v>644</v>
      </c>
      <c r="C163" s="168">
        <v>104</v>
      </c>
    </row>
    <row r="164" spans="2:11" ht="15" hidden="1" customHeight="1" outlineLevel="1" x14ac:dyDescent="0.2"/>
    <row r="165" spans="2:11" ht="15" hidden="1" customHeight="1" outlineLevel="1" x14ac:dyDescent="0.2">
      <c r="B165" t="s">
        <v>645</v>
      </c>
    </row>
    <row r="166" spans="2:11" ht="15" hidden="1" customHeight="1" outlineLevel="1" x14ac:dyDescent="0.2">
      <c r="B166" s="167"/>
      <c r="C166" s="167" t="s">
        <v>646</v>
      </c>
      <c r="D166" s="167" t="s">
        <v>647</v>
      </c>
      <c r="E166" s="167" t="s">
        <v>648</v>
      </c>
      <c r="F166" s="167" t="s">
        <v>649</v>
      </c>
      <c r="G166" s="167" t="s">
        <v>650</v>
      </c>
    </row>
    <row r="167" spans="2:11" ht="15.75" hidden="1" customHeight="1" outlineLevel="1" x14ac:dyDescent="0.2">
      <c r="B167" t="s">
        <v>651</v>
      </c>
      <c r="C167">
        <v>1</v>
      </c>
      <c r="D167">
        <v>1.92166820931483E-2</v>
      </c>
      <c r="E167">
        <v>1.92166820931483E-2</v>
      </c>
      <c r="F167">
        <v>16.7345591049218</v>
      </c>
      <c r="G167">
        <v>8.6036788298430195E-5</v>
      </c>
    </row>
    <row r="168" spans="2:11" hidden="1" outlineLevel="1" x14ac:dyDescent="0.2">
      <c r="B168" t="s">
        <v>652</v>
      </c>
      <c r="C168">
        <v>102</v>
      </c>
      <c r="D168">
        <v>0.117128964152073</v>
      </c>
      <c r="E168">
        <v>1.1483231779615001E-3</v>
      </c>
    </row>
    <row r="169" spans="2:11" ht="15.75" hidden="1" customHeight="1" outlineLevel="1" x14ac:dyDescent="0.2">
      <c r="B169" s="168" t="s">
        <v>276</v>
      </c>
      <c r="C169" s="168">
        <v>103</v>
      </c>
      <c r="D169" s="168">
        <v>0.136345646245221</v>
      </c>
      <c r="E169" s="168"/>
      <c r="F169" s="168"/>
      <c r="G169" s="168"/>
    </row>
    <row r="170" spans="2:11" ht="15" hidden="1" customHeight="1" outlineLevel="1" x14ac:dyDescent="0.2"/>
    <row r="171" spans="2:11" ht="15" hidden="1" customHeight="1" outlineLevel="1" x14ac:dyDescent="0.2">
      <c r="B171" s="167"/>
      <c r="C171" s="167" t="s">
        <v>653</v>
      </c>
      <c r="D171" s="167" t="s">
        <v>643</v>
      </c>
      <c r="E171" s="167" t="s">
        <v>654</v>
      </c>
      <c r="F171" s="167" t="s">
        <v>655</v>
      </c>
      <c r="G171" s="167" t="s">
        <v>656</v>
      </c>
      <c r="H171" s="167" t="s">
        <v>657</v>
      </c>
      <c r="I171" s="167" t="s">
        <v>658</v>
      </c>
      <c r="J171" s="167" t="s">
        <v>659</v>
      </c>
    </row>
    <row r="172" spans="2:11" ht="15" hidden="1" customHeight="1" outlineLevel="1" x14ac:dyDescent="0.2">
      <c r="B172" t="s">
        <v>660</v>
      </c>
      <c r="C172">
        <v>-2.6437417283309999E-3</v>
      </c>
      <c r="D172">
        <v>3.3229018684491399E-3</v>
      </c>
      <c r="E172">
        <v>-0.79561233915249197</v>
      </c>
      <c r="F172">
        <v>0.42810503199488498</v>
      </c>
      <c r="G172">
        <v>-9.2347018290696008E-3</v>
      </c>
      <c r="H172">
        <v>3.9472183724076002E-3</v>
      </c>
      <c r="I172">
        <v>-9.2347018290696008E-3</v>
      </c>
      <c r="J172">
        <v>3.9472183724076002E-3</v>
      </c>
    </row>
    <row r="173" spans="2:11" ht="15.75" hidden="1" customHeight="1" outlineLevel="1" x14ac:dyDescent="0.2">
      <c r="B173" s="168" t="s">
        <v>661</v>
      </c>
      <c r="C173" s="168">
        <v>0.74467100135243203</v>
      </c>
      <c r="D173" s="168">
        <v>0.18203600871769701</v>
      </c>
      <c r="E173" s="168">
        <v>4.0907895454205203</v>
      </c>
      <c r="F173" s="168">
        <v>8.60367882984309E-5</v>
      </c>
      <c r="G173" s="168">
        <v>0.38360344117316902</v>
      </c>
      <c r="H173" s="168">
        <v>1.1057385615316999</v>
      </c>
      <c r="I173" s="168">
        <v>0.38360344117316902</v>
      </c>
      <c r="J173" s="168">
        <v>1.1057385615316999</v>
      </c>
    </row>
    <row r="174" spans="2:11" ht="15.75" hidden="1" customHeight="1" outlineLevel="1" x14ac:dyDescent="0.2"/>
    <row r="175" spans="2:11" ht="15" customHeight="1" collapsed="1" x14ac:dyDescent="0.2">
      <c r="K175" s="174"/>
    </row>
    <row r="176" spans="2:11" ht="15" customHeight="1" x14ac:dyDescent="0.2"/>
    <row r="177" ht="15.75" customHeight="1" x14ac:dyDescent="0.2"/>
  </sheetData>
  <mergeCells count="13">
    <mergeCell ref="B139:C139"/>
    <mergeCell ref="M139:N139"/>
    <mergeCell ref="B158:C158"/>
    <mergeCell ref="P7:Q7"/>
    <mergeCell ref="S7:U7"/>
    <mergeCell ref="B120:C120"/>
    <mergeCell ref="K120:L120"/>
    <mergeCell ref="M120:N120"/>
    <mergeCell ref="B5:D5"/>
    <mergeCell ref="D7:E7"/>
    <mergeCell ref="G7:H7"/>
    <mergeCell ref="J7:K7"/>
    <mergeCell ref="M7:N7"/>
  </mergeCells>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030A0"/>
  </sheetPr>
  <dimension ref="A1:L17"/>
  <sheetViews>
    <sheetView topLeftCell="A3" zoomScale="90" zoomScaleNormal="90" workbookViewId="0">
      <selection activeCell="A6" sqref="A6"/>
    </sheetView>
  </sheetViews>
  <sheetFormatPr baseColWidth="10" defaultColWidth="10.6640625" defaultRowHeight="15" x14ac:dyDescent="0.2"/>
  <cols>
    <col min="1" max="1" width="2.33203125" customWidth="1"/>
    <col min="3" max="3" width="21.5" customWidth="1"/>
    <col min="4" max="4" width="18" customWidth="1"/>
    <col min="5" max="5" width="22.33203125" customWidth="1"/>
    <col min="6" max="6" width="18" customWidth="1"/>
    <col min="7" max="7" width="20.5" customWidth="1"/>
    <col min="8" max="8" width="20" customWidth="1"/>
    <col min="9" max="9" width="20.83203125" customWidth="1"/>
    <col min="10" max="10" width="20.33203125" customWidth="1"/>
    <col min="11" max="11" width="17.33203125" customWidth="1"/>
    <col min="12" max="12" width="20.33203125" customWidth="1"/>
  </cols>
  <sheetData>
    <row r="1" spans="1:12" ht="27.75" customHeight="1" x14ac:dyDescent="0.2">
      <c r="A1" s="1" t="str">
        <f>'Data Sheet'!B1&amp;" - Beta (Comparable Companies)"</f>
        <v>INFOSYS LTD - Beta (Comparable Companies)</v>
      </c>
      <c r="B1" s="1"/>
      <c r="C1" s="1"/>
      <c r="D1" s="1"/>
      <c r="E1" s="1"/>
      <c r="F1" s="1"/>
      <c r="G1" s="1"/>
    </row>
    <row r="6" spans="1:12" ht="15" customHeight="1" x14ac:dyDescent="0.2">
      <c r="B6" s="57"/>
      <c r="C6" s="175"/>
      <c r="D6" s="57"/>
      <c r="E6" s="57"/>
      <c r="F6" s="57"/>
      <c r="G6" s="57"/>
    </row>
    <row r="7" spans="1:12" ht="15" customHeight="1" x14ac:dyDescent="0.2">
      <c r="B7" s="176" t="s">
        <v>678</v>
      </c>
      <c r="C7" s="175" t="s">
        <v>679</v>
      </c>
      <c r="D7" s="176" t="s">
        <v>680</v>
      </c>
      <c r="E7" s="176" t="s">
        <v>681</v>
      </c>
      <c r="F7" s="176" t="s">
        <v>682</v>
      </c>
      <c r="G7" s="176" t="s">
        <v>683</v>
      </c>
      <c r="H7" t="s">
        <v>684</v>
      </c>
      <c r="I7" t="s">
        <v>685</v>
      </c>
      <c r="J7" t="s">
        <v>686</v>
      </c>
      <c r="K7" t="s">
        <v>687</v>
      </c>
      <c r="L7" t="s">
        <v>688</v>
      </c>
    </row>
    <row r="8" spans="1:12" ht="15" customHeight="1" x14ac:dyDescent="0.2">
      <c r="B8" s="176">
        <v>1</v>
      </c>
      <c r="C8" s="175" t="s">
        <v>590</v>
      </c>
      <c r="D8" s="176">
        <v>2302</v>
      </c>
      <c r="E8" s="176">
        <v>361.81</v>
      </c>
      <c r="F8" s="176">
        <v>11283</v>
      </c>
      <c r="G8" s="176">
        <v>12908</v>
      </c>
      <c r="H8">
        <v>831258.75</v>
      </c>
      <c r="I8">
        <v>275859</v>
      </c>
      <c r="J8">
        <v>50055</v>
      </c>
      <c r="K8">
        <v>72951</v>
      </c>
      <c r="L8">
        <v>5438</v>
      </c>
    </row>
    <row r="9" spans="1:12" ht="15" customHeight="1" x14ac:dyDescent="0.2">
      <c r="B9" s="176">
        <v>2</v>
      </c>
      <c r="C9" s="175" t="s">
        <v>588</v>
      </c>
      <c r="D9" s="176">
        <v>1121</v>
      </c>
      <c r="E9" s="176">
        <v>405.81</v>
      </c>
      <c r="F9" s="177">
        <f>'Data Sheet'!$K$59</f>
        <v>9176</v>
      </c>
      <c r="G9" s="177">
        <f>'Data Sheet'!$K$69</f>
        <v>22201</v>
      </c>
      <c r="H9">
        <f>D9*E9+F9-G9</f>
        <v>441888.01</v>
      </c>
      <c r="I9">
        <v>184582</v>
      </c>
      <c r="J9" t="s">
        <v>689</v>
      </c>
      <c r="K9">
        <v>43002</v>
      </c>
      <c r="L9">
        <v>5007</v>
      </c>
    </row>
    <row r="10" spans="1:12" ht="15" customHeight="1" x14ac:dyDescent="0.2">
      <c r="B10" s="176">
        <v>3</v>
      </c>
      <c r="C10" s="175" t="s">
        <v>591</v>
      </c>
      <c r="D10" s="176">
        <v>1302.5</v>
      </c>
      <c r="E10" s="176">
        <v>271.37</v>
      </c>
      <c r="F10" s="176">
        <v>5215</v>
      </c>
      <c r="G10" s="176">
        <v>23425</v>
      </c>
      <c r="H10">
        <v>335244.88</v>
      </c>
      <c r="I10">
        <v>134374</v>
      </c>
      <c r="J10">
        <v>17434</v>
      </c>
      <c r="K10">
        <v>24721</v>
      </c>
      <c r="L10">
        <v>4301</v>
      </c>
    </row>
    <row r="11" spans="1:12" ht="15" customHeight="1" x14ac:dyDescent="0.2">
      <c r="B11" s="176">
        <v>4</v>
      </c>
      <c r="C11" s="175" t="s">
        <v>592</v>
      </c>
      <c r="D11" s="176">
        <v>180.79</v>
      </c>
      <c r="E11" s="176">
        <v>990.45</v>
      </c>
      <c r="F11" s="176">
        <v>20291</v>
      </c>
      <c r="G11" s="176">
        <v>10555.5</v>
      </c>
      <c r="H11">
        <v>188799.63</v>
      </c>
      <c r="I11">
        <v>94968</v>
      </c>
      <c r="J11">
        <v>13285.3</v>
      </c>
      <c r="K11">
        <v>18988.099999999999</v>
      </c>
      <c r="L11">
        <v>3029.6</v>
      </c>
    </row>
    <row r="12" spans="1:12" ht="15" customHeight="1" x14ac:dyDescent="0.2">
      <c r="B12" s="176">
        <v>5</v>
      </c>
      <c r="C12" s="175" t="s">
        <v>593</v>
      </c>
      <c r="D12" s="176">
        <v>1584</v>
      </c>
      <c r="E12" s="176">
        <v>98.01</v>
      </c>
      <c r="F12" s="176">
        <v>2186.1999999999998</v>
      </c>
      <c r="G12" s="176">
        <v>5105.3999999999996</v>
      </c>
      <c r="H12">
        <v>152326.23000000001</v>
      </c>
      <c r="I12">
        <v>59176.1</v>
      </c>
      <c r="J12">
        <v>5163</v>
      </c>
      <c r="K12">
        <v>7640.2</v>
      </c>
      <c r="L12">
        <v>1902.1</v>
      </c>
    </row>
    <row r="13" spans="1:12" ht="15" customHeight="1" x14ac:dyDescent="0.2">
      <c r="B13" s="176">
        <v>6</v>
      </c>
      <c r="C13" s="175" t="s">
        <v>172</v>
      </c>
      <c r="D13" s="176">
        <v>4487.8</v>
      </c>
      <c r="E13" s="176">
        <v>29.66</v>
      </c>
      <c r="F13" s="176">
        <v>2310</v>
      </c>
      <c r="G13" s="176">
        <v>2812.4</v>
      </c>
      <c r="H13">
        <v>132615.32</v>
      </c>
      <c r="I13">
        <v>44075</v>
      </c>
      <c r="J13">
        <v>5196.7</v>
      </c>
      <c r="K13">
        <v>7851.6</v>
      </c>
      <c r="L13">
        <v>1072.5</v>
      </c>
    </row>
    <row r="14" spans="1:12" ht="15" customHeight="1" x14ac:dyDescent="0.2">
      <c r="B14">
        <v>7</v>
      </c>
      <c r="C14" t="s">
        <v>690</v>
      </c>
      <c r="D14">
        <v>5667.5</v>
      </c>
      <c r="E14">
        <v>15.78</v>
      </c>
      <c r="F14">
        <v>477.45</v>
      </c>
      <c r="G14">
        <v>1218.25</v>
      </c>
      <c r="H14">
        <v>88664.01</v>
      </c>
      <c r="I14">
        <v>15718.1</v>
      </c>
      <c r="J14">
        <v>1923.22</v>
      </c>
      <c r="K14">
        <v>2652.69</v>
      </c>
      <c r="L14">
        <v>424.46</v>
      </c>
    </row>
    <row r="15" spans="1:12" ht="15" customHeight="1" x14ac:dyDescent="0.2">
      <c r="B15" t="s">
        <v>691</v>
      </c>
      <c r="C15">
        <v>213.15</v>
      </c>
      <c r="D15">
        <v>5.98</v>
      </c>
      <c r="E15">
        <v>37.479999999999997</v>
      </c>
      <c r="F15">
        <v>55.17</v>
      </c>
      <c r="G15">
        <v>1068.97</v>
      </c>
      <c r="H15">
        <v>288.95999999999998</v>
      </c>
      <c r="I15">
        <v>31.86</v>
      </c>
      <c r="J15">
        <v>45.55</v>
      </c>
      <c r="K15">
        <v>6.5</v>
      </c>
    </row>
    <row r="17" spans="1:1" ht="15" customHeight="1" x14ac:dyDescent="0.2">
      <c r="A17" s="178" t="s">
        <v>692</v>
      </c>
    </row>
  </sheetData>
  <mergeCells count="1">
    <mergeCell ref="A1:G1"/>
  </mergeCells>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7030A0"/>
  </sheetPr>
  <dimension ref="B6:F52"/>
  <sheetViews>
    <sheetView zoomScale="90" zoomScaleNormal="90" workbookViewId="0">
      <pane xSplit="1" ySplit="3" topLeftCell="B6" activePane="bottomRight" state="frozen"/>
      <selection pane="topRight" activeCell="B1" sqref="B1"/>
      <selection pane="bottomLeft" activeCell="A6" sqref="A6"/>
      <selection pane="bottomRight" activeCell="F15" sqref="F15"/>
    </sheetView>
  </sheetViews>
  <sheetFormatPr baseColWidth="10" defaultColWidth="10.6640625" defaultRowHeight="15" x14ac:dyDescent="0.2"/>
  <cols>
    <col min="1" max="1" width="2.33203125" customWidth="1"/>
    <col min="5" max="5" width="16.5" customWidth="1"/>
  </cols>
  <sheetData>
    <row r="6" spans="2:6" ht="15" customHeight="1" x14ac:dyDescent="0.2">
      <c r="B6" s="60" t="s">
        <v>693</v>
      </c>
      <c r="C6" s="179"/>
      <c r="D6" s="179"/>
      <c r="E6" s="179"/>
      <c r="F6" s="179"/>
    </row>
    <row r="8" spans="2:6" ht="15" customHeight="1" x14ac:dyDescent="0.2">
      <c r="B8" s="171" t="s">
        <v>430</v>
      </c>
      <c r="C8" s="160" t="s">
        <v>694</v>
      </c>
      <c r="D8" s="28" t="s">
        <v>695</v>
      </c>
    </row>
    <row r="9" spans="2:6" ht="15" customHeight="1" x14ac:dyDescent="0.2">
      <c r="B9" s="118">
        <v>2000</v>
      </c>
      <c r="C9" s="180">
        <v>-0.14649999999999999</v>
      </c>
      <c r="D9" s="181">
        <f t="shared" ref="D9:D34" si="0">1+C9</f>
        <v>0.85350000000000004</v>
      </c>
      <c r="E9" t="s">
        <v>696</v>
      </c>
      <c r="F9" s="50">
        <f>AVERAGE(C9:C34)</f>
        <v>0.1514923076923077</v>
      </c>
    </row>
    <row r="10" spans="2:6" ht="16.5" customHeight="1" x14ac:dyDescent="0.2">
      <c r="B10" s="118">
        <v>2001</v>
      </c>
      <c r="C10" s="180">
        <v>-0.1618</v>
      </c>
      <c r="D10" s="181">
        <f t="shared" si="0"/>
        <v>0.83820000000000006</v>
      </c>
      <c r="E10" t="s">
        <v>697</v>
      </c>
      <c r="F10" s="182">
        <v>1.2999999999999999E-2</v>
      </c>
    </row>
    <row r="11" spans="2:6" ht="15" customHeight="1" x14ac:dyDescent="0.2">
      <c r="B11" s="118">
        <v>2002</v>
      </c>
      <c r="C11" s="180">
        <v>3.2500000000000001E-2</v>
      </c>
      <c r="D11" s="181">
        <f t="shared" si="0"/>
        <v>1.0325</v>
      </c>
      <c r="E11" s="166" t="s">
        <v>698</v>
      </c>
      <c r="F11" s="183">
        <f>F15+F10</f>
        <v>0.12950334143488063</v>
      </c>
    </row>
    <row r="12" spans="2:6" ht="15" customHeight="1" x14ac:dyDescent="0.2">
      <c r="B12" s="118">
        <v>2003</v>
      </c>
      <c r="C12" s="180">
        <v>0.71899999999999997</v>
      </c>
      <c r="D12" s="181">
        <f t="shared" si="0"/>
        <v>1.7189999999999999</v>
      </c>
    </row>
    <row r="13" spans="2:6" ht="15" customHeight="1" x14ac:dyDescent="0.2">
      <c r="B13" s="118">
        <v>2004</v>
      </c>
      <c r="C13" s="180">
        <v>0.10680000000000001</v>
      </c>
      <c r="D13" s="181">
        <f t="shared" si="0"/>
        <v>1.1068</v>
      </c>
      <c r="E13" t="s">
        <v>699</v>
      </c>
      <c r="F13" s="50">
        <f>F9</f>
        <v>0.1514923076923077</v>
      </c>
    </row>
    <row r="14" spans="2:6" ht="15" customHeight="1" x14ac:dyDescent="0.2">
      <c r="B14" s="118">
        <v>2005</v>
      </c>
      <c r="C14" s="180">
        <v>0.3634</v>
      </c>
      <c r="D14" s="181">
        <f t="shared" si="0"/>
        <v>1.3633999999999999</v>
      </c>
    </row>
    <row r="15" spans="2:6" ht="15" customHeight="1" x14ac:dyDescent="0.2">
      <c r="B15" s="118">
        <v>2006</v>
      </c>
      <c r="C15" s="180">
        <v>0.39829999999999999</v>
      </c>
      <c r="D15" s="181">
        <f t="shared" si="0"/>
        <v>1.3982999999999999</v>
      </c>
      <c r="E15" t="s">
        <v>700</v>
      </c>
      <c r="F15" s="184">
        <f>PRODUCT(D9:D34)^(1/COUNT(C9:C34))-1</f>
        <v>0.11650334143488061</v>
      </c>
    </row>
    <row r="16" spans="2:6" ht="15" customHeight="1" x14ac:dyDescent="0.2">
      <c r="B16" s="118">
        <v>2007</v>
      </c>
      <c r="C16" s="180">
        <v>0.54769999999999996</v>
      </c>
      <c r="D16" s="181">
        <f t="shared" si="0"/>
        <v>1.5476999999999999</v>
      </c>
    </row>
    <row r="17" spans="2:4" ht="15" customHeight="1" x14ac:dyDescent="0.2">
      <c r="B17" s="118">
        <v>2008</v>
      </c>
      <c r="C17" s="180">
        <v>-0.51790000000000003</v>
      </c>
      <c r="D17" s="181">
        <f t="shared" si="0"/>
        <v>0.48209999999999997</v>
      </c>
    </row>
    <row r="18" spans="2:4" ht="15" customHeight="1" x14ac:dyDescent="0.2">
      <c r="B18" s="118">
        <v>2009</v>
      </c>
      <c r="C18" s="180">
        <v>0.75760000000000005</v>
      </c>
      <c r="D18" s="181">
        <f t="shared" si="0"/>
        <v>1.7576000000000001</v>
      </c>
    </row>
    <row r="19" spans="2:4" ht="15" customHeight="1" x14ac:dyDescent="0.2">
      <c r="B19" s="118">
        <v>2010</v>
      </c>
      <c r="C19" s="180">
        <v>0.17949999999999999</v>
      </c>
      <c r="D19" s="181">
        <f t="shared" si="0"/>
        <v>1.1795</v>
      </c>
    </row>
    <row r="20" spans="2:4" ht="15" customHeight="1" x14ac:dyDescent="0.2">
      <c r="B20" s="118">
        <v>2011</v>
      </c>
      <c r="C20" s="180">
        <v>-0.2462</v>
      </c>
      <c r="D20" s="181">
        <f t="shared" si="0"/>
        <v>0.75380000000000003</v>
      </c>
    </row>
    <row r="21" spans="2:4" ht="15" customHeight="1" x14ac:dyDescent="0.2">
      <c r="B21" s="118">
        <v>2012</v>
      </c>
      <c r="C21" s="180">
        <v>0.27700000000000002</v>
      </c>
      <c r="D21" s="181">
        <f t="shared" si="0"/>
        <v>1.2770000000000001</v>
      </c>
    </row>
    <row r="22" spans="2:4" ht="15" customHeight="1" x14ac:dyDescent="0.2">
      <c r="B22" s="118">
        <v>2013</v>
      </c>
      <c r="C22" s="180">
        <v>6.7599999999999993E-2</v>
      </c>
      <c r="D22" s="181">
        <f t="shared" si="0"/>
        <v>1.0676000000000001</v>
      </c>
    </row>
    <row r="23" spans="2:4" ht="15" customHeight="1" x14ac:dyDescent="0.2">
      <c r="B23" s="118">
        <v>2014</v>
      </c>
      <c r="C23" s="180">
        <v>0.31390000000000001</v>
      </c>
      <c r="D23" s="181">
        <f t="shared" si="0"/>
        <v>1.3139000000000001</v>
      </c>
    </row>
    <row r="24" spans="2:4" ht="15" customHeight="1" x14ac:dyDescent="0.2">
      <c r="B24" s="118">
        <v>2015</v>
      </c>
      <c r="C24" s="180">
        <v>-4.0599999999999997E-2</v>
      </c>
      <c r="D24" s="181">
        <f t="shared" si="0"/>
        <v>0.95940000000000003</v>
      </c>
    </row>
    <row r="25" spans="2:4" ht="15" customHeight="1" x14ac:dyDescent="0.2">
      <c r="B25" s="118">
        <v>2016</v>
      </c>
      <c r="C25" s="180">
        <v>3.0099999999999998E-2</v>
      </c>
      <c r="D25" s="181">
        <f t="shared" si="0"/>
        <v>1.0301</v>
      </c>
    </row>
    <row r="26" spans="2:4" ht="15" customHeight="1" x14ac:dyDescent="0.2">
      <c r="B26" s="118">
        <v>2017</v>
      </c>
      <c r="C26" s="180">
        <v>0.28649999999999998</v>
      </c>
      <c r="D26" s="181">
        <f t="shared" si="0"/>
        <v>1.2865</v>
      </c>
    </row>
    <row r="27" spans="2:4" ht="15" customHeight="1" x14ac:dyDescent="0.2">
      <c r="B27" s="118">
        <v>2018</v>
      </c>
      <c r="C27" s="180">
        <v>3.15E-2</v>
      </c>
      <c r="D27" s="181">
        <f t="shared" si="0"/>
        <v>1.0315000000000001</v>
      </c>
    </row>
    <row r="28" spans="2:4" ht="15" customHeight="1" x14ac:dyDescent="0.2">
      <c r="B28" s="118">
        <v>2019</v>
      </c>
      <c r="C28" s="180">
        <v>0.1202</v>
      </c>
      <c r="D28" s="181">
        <f t="shared" si="0"/>
        <v>1.1202000000000001</v>
      </c>
    </row>
    <row r="29" spans="2:4" ht="15" customHeight="1" x14ac:dyDescent="0.2">
      <c r="B29" s="118">
        <v>2020</v>
      </c>
      <c r="C29" s="180">
        <v>0.14899999999999999</v>
      </c>
      <c r="D29" s="181">
        <f t="shared" si="0"/>
        <v>1.149</v>
      </c>
    </row>
    <row r="30" spans="2:4" ht="15" customHeight="1" x14ac:dyDescent="0.2">
      <c r="B30" s="118">
        <v>2021</v>
      </c>
      <c r="C30" s="180">
        <v>0.2412</v>
      </c>
      <c r="D30" s="181">
        <f t="shared" si="0"/>
        <v>1.2412000000000001</v>
      </c>
    </row>
    <row r="31" spans="2:4" ht="15" customHeight="1" x14ac:dyDescent="0.2">
      <c r="B31" s="118">
        <v>2022</v>
      </c>
      <c r="C31" s="180">
        <v>4.3200000000000002E-2</v>
      </c>
      <c r="D31" s="181">
        <f t="shared" si="0"/>
        <v>1.0431999999999999</v>
      </c>
    </row>
    <row r="32" spans="2:4" ht="15" customHeight="1" x14ac:dyDescent="0.2">
      <c r="B32" s="118">
        <v>2023</v>
      </c>
      <c r="C32" s="180">
        <v>0.19420000000000001</v>
      </c>
      <c r="D32" s="181">
        <f t="shared" si="0"/>
        <v>1.1941999999999999</v>
      </c>
    </row>
    <row r="33" spans="2:4" ht="15" customHeight="1" x14ac:dyDescent="0.2">
      <c r="B33" s="118">
        <v>2024</v>
      </c>
      <c r="C33" s="180">
        <v>8.7499999999999994E-2</v>
      </c>
      <c r="D33" s="181">
        <f t="shared" si="0"/>
        <v>1.0874999999999999</v>
      </c>
    </row>
    <row r="34" spans="2:4" ht="15" customHeight="1" x14ac:dyDescent="0.2">
      <c r="B34" s="118">
        <v>2025</v>
      </c>
      <c r="C34" s="180">
        <v>0.1051</v>
      </c>
      <c r="D34" s="181">
        <f t="shared" si="0"/>
        <v>1.1051</v>
      </c>
    </row>
    <row r="35" spans="2:4" ht="15" customHeight="1" x14ac:dyDescent="0.2">
      <c r="B35" s="118"/>
    </row>
    <row r="47" spans="2:4" ht="15" customHeight="1" x14ac:dyDescent="0.2">
      <c r="B47" s="185" t="s">
        <v>701</v>
      </c>
    </row>
    <row r="48" spans="2:4" ht="126.75" customHeight="1" x14ac:dyDescent="0.2">
      <c r="B48" s="185" t="s">
        <v>702</v>
      </c>
    </row>
    <row r="49" spans="2:2" ht="95.25" customHeight="1" x14ac:dyDescent="0.2">
      <c r="B49" s="185" t="s">
        <v>703</v>
      </c>
    </row>
    <row r="50" spans="2:2" ht="126.75" customHeight="1" x14ac:dyDescent="0.2">
      <c r="B50" s="185" t="s">
        <v>704</v>
      </c>
    </row>
    <row r="51" spans="2:2" ht="210" customHeight="1" x14ac:dyDescent="0.2">
      <c r="B51" s="185" t="s">
        <v>705</v>
      </c>
    </row>
    <row r="52" spans="2:2" ht="137.25" customHeight="1" x14ac:dyDescent="0.2">
      <c r="B52" s="185" t="s">
        <v>706</v>
      </c>
    </row>
  </sheetData>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7030A0"/>
  </sheetPr>
  <dimension ref="A6:K66"/>
  <sheetViews>
    <sheetView topLeftCell="B32" zoomScale="90" zoomScaleNormal="90" workbookViewId="0">
      <selection activeCell="J15" sqref="J15"/>
    </sheetView>
  </sheetViews>
  <sheetFormatPr baseColWidth="10" defaultColWidth="10.6640625" defaultRowHeight="15" x14ac:dyDescent="0.2"/>
  <cols>
    <col min="1" max="1" width="2.33203125" customWidth="1"/>
    <col min="2" max="2" width="26.33203125" customWidth="1"/>
    <col min="7" max="7" width="13.1640625" customWidth="1"/>
    <col min="8" max="8" width="21.83203125" customWidth="1"/>
    <col min="9" max="9" width="13.83203125" customWidth="1"/>
    <col min="10" max="10" width="12.33203125" customWidth="1"/>
    <col min="11" max="11" width="13" customWidth="1"/>
  </cols>
  <sheetData>
    <row r="6" spans="2:11" ht="15" customHeight="1" x14ac:dyDescent="0.2">
      <c r="B6" s="186" t="s">
        <v>707</v>
      </c>
      <c r="C6" s="186"/>
      <c r="D6" s="186"/>
      <c r="E6" s="186"/>
      <c r="F6" s="186"/>
      <c r="G6" s="187">
        <f>'Raw FS'!H2</f>
        <v>44621</v>
      </c>
      <c r="H6" s="187">
        <f>'Raw FS'!I2</f>
        <v>44986</v>
      </c>
      <c r="I6" s="187">
        <f>'Raw FS'!J2</f>
        <v>45352</v>
      </c>
      <c r="J6" s="187">
        <f>'Raw FS'!K2</f>
        <v>45717</v>
      </c>
      <c r="K6" s="187">
        <f>'Raw FS'!L2</f>
        <v>46082</v>
      </c>
    </row>
    <row r="8" spans="2:11" ht="15" customHeight="1" x14ac:dyDescent="0.2">
      <c r="B8" s="54" t="s">
        <v>708</v>
      </c>
    </row>
    <row r="9" spans="2:11" ht="15" customHeight="1" x14ac:dyDescent="0.2">
      <c r="B9" t="str">
        <f>'Raw FS'!B33</f>
        <v xml:space="preserve">Trade receivables </v>
      </c>
      <c r="G9" s="23">
        <f>'Raw FS'!H33</f>
        <v>22698</v>
      </c>
      <c r="H9" s="23">
        <f>'Raw FS'!I33</f>
        <v>25424</v>
      </c>
      <c r="I9" s="23">
        <f>'Raw FS'!J33</f>
        <v>30193</v>
      </c>
      <c r="J9" s="23">
        <f>'Raw FS'!K33</f>
        <v>31158</v>
      </c>
      <c r="K9" s="23">
        <f>'Raw FS'!L33</f>
        <v>35234</v>
      </c>
    </row>
    <row r="10" spans="2:11" ht="15" customHeight="1" x14ac:dyDescent="0.2">
      <c r="B10" t="str">
        <f>'Raw FS'!B35</f>
        <v>Loans n Advances</v>
      </c>
      <c r="G10" s="23">
        <f>'Raw FS'!H35</f>
        <v>2491</v>
      </c>
      <c r="H10" s="23">
        <f>'Raw FS'!I35</f>
        <v>3242</v>
      </c>
      <c r="I10" s="23">
        <f>'Raw FS'!J35</f>
        <v>10330</v>
      </c>
      <c r="J10" s="23">
        <f>'Raw FS'!K35</f>
        <v>6717</v>
      </c>
      <c r="K10" s="23">
        <f>'Raw FS'!L35</f>
        <v>6808</v>
      </c>
    </row>
    <row r="11" spans="2:11" ht="15" customHeight="1" x14ac:dyDescent="0.2">
      <c r="B11" t="str">
        <f>'Raw FS'!B36</f>
        <v>Other asset items</v>
      </c>
      <c r="G11" s="23">
        <f>'Raw FS'!H36</f>
        <v>27528</v>
      </c>
      <c r="H11" s="23">
        <f>'Raw FS'!I36</f>
        <v>34766</v>
      </c>
      <c r="I11" s="23">
        <f>'Raw FS'!J36</f>
        <v>28173</v>
      </c>
      <c r="J11" s="23">
        <f>'Raw FS'!K36</f>
        <v>30149</v>
      </c>
      <c r="K11" s="23">
        <f>'Raw FS'!L36</f>
        <v>33869</v>
      </c>
    </row>
    <row r="12" spans="2:11" ht="15" customHeight="1" x14ac:dyDescent="0.2">
      <c r="B12" s="188" t="s">
        <v>216</v>
      </c>
      <c r="C12" s="188"/>
      <c r="D12" s="188"/>
      <c r="E12" s="188"/>
      <c r="F12" s="188"/>
      <c r="G12" s="189">
        <f>SUM(G9:G11)</f>
        <v>52717</v>
      </c>
      <c r="H12" s="189">
        <f>SUM(H9:H11)</f>
        <v>63432</v>
      </c>
      <c r="I12" s="189">
        <f>SUM(I9:I11)</f>
        <v>68696</v>
      </c>
      <c r="J12" s="189">
        <f>SUM(J9:J11)</f>
        <v>68024</v>
      </c>
      <c r="K12" s="189">
        <f>SUM(K9:K11)</f>
        <v>75911</v>
      </c>
    </row>
    <row r="14" spans="2:11" ht="15" customHeight="1" x14ac:dyDescent="0.2">
      <c r="B14" s="54" t="s">
        <v>709</v>
      </c>
    </row>
    <row r="15" spans="2:11" ht="15" customHeight="1" x14ac:dyDescent="0.2">
      <c r="B15" t="str">
        <f>'Raw FS'!B10</f>
        <v>Trade Payables</v>
      </c>
      <c r="G15" s="23">
        <f>'Raw FS'!H10</f>
        <v>4134</v>
      </c>
      <c r="H15" s="23">
        <f>'Raw FS'!I10</f>
        <v>3865</v>
      </c>
      <c r="I15" s="23">
        <f>'Raw FS'!J10</f>
        <v>3956</v>
      </c>
      <c r="J15" s="23">
        <f>'Raw FS'!K10</f>
        <v>4164</v>
      </c>
      <c r="K15" s="23">
        <f>'Raw FS'!L10</f>
        <v>4744</v>
      </c>
    </row>
    <row r="16" spans="2:11" ht="15" customHeight="1" x14ac:dyDescent="0.2">
      <c r="B16" t="str">
        <f>'Raw FS'!B11</f>
        <v>Advance from Customers</v>
      </c>
      <c r="G16" s="23">
        <f>'Raw FS'!H11</f>
        <v>0</v>
      </c>
      <c r="H16" s="23">
        <f>'Raw FS'!I11</f>
        <v>0</v>
      </c>
      <c r="I16" s="23">
        <f>'Raw FS'!J11</f>
        <v>0</v>
      </c>
      <c r="J16" s="23">
        <f>'Raw FS'!K11</f>
        <v>0</v>
      </c>
      <c r="K16" s="23">
        <f>'Raw FS'!L11</f>
        <v>0</v>
      </c>
    </row>
    <row r="17" spans="1:11" ht="15" customHeight="1" x14ac:dyDescent="0.2">
      <c r="B17" t="str">
        <f>'Raw FS'!B12</f>
        <v>Other liability items</v>
      </c>
      <c r="G17" s="23">
        <f>'Raw FS'!H12</f>
        <v>31385</v>
      </c>
      <c r="H17" s="23">
        <f>'Raw FS'!I12</f>
        <v>36637</v>
      </c>
      <c r="I17" s="23">
        <f>'Raw FS'!J12</f>
        <v>35244</v>
      </c>
      <c r="J17" s="23">
        <f>'Raw FS'!K12</f>
        <v>39201</v>
      </c>
      <c r="K17" s="23">
        <f>'Raw FS'!L12</f>
        <v>47071</v>
      </c>
    </row>
    <row r="18" spans="1:11" ht="15" customHeight="1" x14ac:dyDescent="0.2">
      <c r="B18" s="188" t="s">
        <v>710</v>
      </c>
      <c r="C18" s="188"/>
      <c r="D18" s="188"/>
      <c r="E18" s="188"/>
      <c r="F18" s="188"/>
      <c r="G18" s="189">
        <f>SUM(G15:G17)</f>
        <v>35519</v>
      </c>
      <c r="H18" s="189">
        <f>SUM(H15:H17)</f>
        <v>40502</v>
      </c>
      <c r="I18" s="189">
        <f>SUM(I15:I17)</f>
        <v>39200</v>
      </c>
      <c r="J18" s="189">
        <f>SUM(J15:J17)</f>
        <v>43365</v>
      </c>
      <c r="K18" s="189">
        <f>SUM(K15:K17)</f>
        <v>51815</v>
      </c>
    </row>
    <row r="20" spans="1:11" ht="15.75" customHeight="1" x14ac:dyDescent="0.2">
      <c r="A20" t="s">
        <v>173</v>
      </c>
      <c r="B20" s="190" t="s">
        <v>711</v>
      </c>
      <c r="C20" s="190"/>
      <c r="D20" s="190"/>
      <c r="E20" s="190"/>
      <c r="F20" s="190"/>
      <c r="G20" s="191">
        <f>G12-G18</f>
        <v>17198</v>
      </c>
      <c r="H20" s="191">
        <f>H12-H18</f>
        <v>22930</v>
      </c>
      <c r="I20" s="191">
        <f>I12-I18</f>
        <v>29496</v>
      </c>
      <c r="J20" s="191">
        <f>J12-J18</f>
        <v>24659</v>
      </c>
      <c r="K20" s="191">
        <f>K12-K18</f>
        <v>24096</v>
      </c>
    </row>
    <row r="22" spans="1:11" ht="15" customHeight="1" x14ac:dyDescent="0.2">
      <c r="B22" s="54" t="s">
        <v>712</v>
      </c>
    </row>
    <row r="23" spans="1:11" ht="15" customHeight="1" x14ac:dyDescent="0.2">
      <c r="B23" t="str">
        <f>'Raw FS'!B16</f>
        <v>Land</v>
      </c>
      <c r="G23" s="23">
        <f>'Raw FS'!H16</f>
        <v>2066</v>
      </c>
      <c r="H23" s="23">
        <f>'Raw FS'!I16</f>
        <v>2054</v>
      </c>
      <c r="I23" s="23">
        <f>'Raw FS'!J16</f>
        <v>2037</v>
      </c>
      <c r="J23" s="23">
        <f>'Raw FS'!K16</f>
        <v>2079</v>
      </c>
      <c r="K23" s="23">
        <f>'Raw FS'!L16</f>
        <v>1990</v>
      </c>
    </row>
    <row r="24" spans="1:11" ht="15" customHeight="1" x14ac:dyDescent="0.2">
      <c r="B24" t="str">
        <f>'Raw FS'!B17</f>
        <v>Building</v>
      </c>
      <c r="G24" s="23">
        <f>'Raw FS'!H17</f>
        <v>16760</v>
      </c>
      <c r="H24" s="23">
        <f>'Raw FS'!I17</f>
        <v>16903</v>
      </c>
      <c r="I24" s="23">
        <f>'Raw FS'!J17</f>
        <v>16515</v>
      </c>
      <c r="J24" s="23">
        <f>'Raw FS'!K17</f>
        <v>16376</v>
      </c>
      <c r="K24" s="23">
        <f>'Raw FS'!L17</f>
        <v>17193</v>
      </c>
    </row>
    <row r="25" spans="1:11" ht="15" customHeight="1" x14ac:dyDescent="0.2">
      <c r="B25" t="str">
        <f>'Raw FS'!B18</f>
        <v>Plant Machinery</v>
      </c>
      <c r="G25" s="23">
        <f>'Raw FS'!H18</f>
        <v>3210</v>
      </c>
      <c r="H25" s="23">
        <f>'Raw FS'!I18</f>
        <v>3302</v>
      </c>
      <c r="I25" s="23">
        <f>'Raw FS'!J18</f>
        <v>3428</v>
      </c>
      <c r="J25" s="23">
        <f>'Raw FS'!K18</f>
        <v>3461</v>
      </c>
      <c r="K25" s="23">
        <f>'Raw FS'!L18</f>
        <v>3714</v>
      </c>
    </row>
    <row r="26" spans="1:11" ht="15" customHeight="1" x14ac:dyDescent="0.2">
      <c r="B26" t="str">
        <f>'Raw FS'!B19</f>
        <v>Equipments</v>
      </c>
      <c r="G26" s="23">
        <f>'Raw FS'!H19</f>
        <v>1427</v>
      </c>
      <c r="H26" s="23">
        <f>'Raw FS'!I19</f>
        <v>1482</v>
      </c>
      <c r="I26" s="23">
        <f>'Raw FS'!J19</f>
        <v>1528</v>
      </c>
      <c r="J26" s="23">
        <f>'Raw FS'!K19</f>
        <v>1628</v>
      </c>
      <c r="K26" s="23">
        <f>'Raw FS'!L19</f>
        <v>1732</v>
      </c>
    </row>
    <row r="27" spans="1:11" ht="15" customHeight="1" x14ac:dyDescent="0.2">
      <c r="B27" t="str">
        <f>'Raw FS'!B20</f>
        <v>Computers</v>
      </c>
      <c r="G27" s="23">
        <f>'Raw FS'!H20</f>
        <v>9936</v>
      </c>
      <c r="H27" s="23">
        <f>'Raw FS'!I20</f>
        <v>11898</v>
      </c>
      <c r="I27" s="23">
        <f>'Raw FS'!J20</f>
        <v>12353</v>
      </c>
      <c r="J27" s="23">
        <f>'Raw FS'!K20</f>
        <v>12925</v>
      </c>
      <c r="K27" s="23">
        <f>'Raw FS'!L20</f>
        <v>13600</v>
      </c>
    </row>
    <row r="28" spans="1:11" ht="15" customHeight="1" x14ac:dyDescent="0.2">
      <c r="B28" t="str">
        <f>'Raw FS'!B21</f>
        <v>Furniture n fittings</v>
      </c>
      <c r="G28" s="23">
        <f>'Raw FS'!H21</f>
        <v>2278</v>
      </c>
      <c r="H28" s="23">
        <f>'Raw FS'!I21</f>
        <v>2303</v>
      </c>
      <c r="I28" s="23">
        <f>'Raw FS'!J21</f>
        <v>2326</v>
      </c>
      <c r="J28" s="23">
        <f>'Raw FS'!K21</f>
        <v>2340</v>
      </c>
      <c r="K28" s="23">
        <f>'Raw FS'!L21</f>
        <v>2438</v>
      </c>
    </row>
    <row r="29" spans="1:11" ht="15" customHeight="1" x14ac:dyDescent="0.2">
      <c r="B29" t="str">
        <f>'Raw FS'!B22</f>
        <v>Vehicles</v>
      </c>
      <c r="G29" s="23">
        <f>'Raw FS'!H22</f>
        <v>71</v>
      </c>
      <c r="H29" s="23">
        <f>'Raw FS'!I22</f>
        <v>60</v>
      </c>
      <c r="I29" s="23">
        <f>'Raw FS'!J22</f>
        <v>62</v>
      </c>
      <c r="J29" s="23">
        <f>'Raw FS'!K22</f>
        <v>72</v>
      </c>
      <c r="K29" s="23">
        <f>'Raw FS'!L22</f>
        <v>70</v>
      </c>
    </row>
    <row r="30" spans="1:11" ht="15" customHeight="1" x14ac:dyDescent="0.2">
      <c r="B30" t="str">
        <f>'Raw FS'!B23</f>
        <v>Intangible Assets</v>
      </c>
      <c r="G30" s="23">
        <f>'Raw FS'!H23</f>
        <v>6495</v>
      </c>
      <c r="H30" s="23">
        <f>'Raw FS'!I23</f>
        <v>7594</v>
      </c>
      <c r="I30" s="23">
        <f>'Raw FS'!J23</f>
        <v>7652</v>
      </c>
      <c r="J30" s="23">
        <f>'Raw FS'!K23</f>
        <v>10626</v>
      </c>
      <c r="K30" s="23">
        <f>'Raw FS'!L23</f>
        <v>12729</v>
      </c>
    </row>
    <row r="31" spans="1:11" ht="15" customHeight="1" x14ac:dyDescent="0.2">
      <c r="B31" t="str">
        <f>'Raw FS'!B24</f>
        <v>Other fixed assets</v>
      </c>
      <c r="G31" s="23">
        <f>'Raw FS'!H24</f>
        <v>2766</v>
      </c>
      <c r="H31" s="23">
        <f>'Raw FS'!I24</f>
        <v>3281</v>
      </c>
      <c r="I31" s="23">
        <f>'Raw FS'!J24</f>
        <v>3294</v>
      </c>
      <c r="J31" s="23">
        <f>'Raw FS'!K24</f>
        <v>5184</v>
      </c>
      <c r="K31" s="23">
        <f>'Raw FS'!L24</f>
        <v>6296</v>
      </c>
    </row>
    <row r="32" spans="1:11" ht="15" customHeight="1" x14ac:dyDescent="0.2">
      <c r="B32" s="188" t="s">
        <v>713</v>
      </c>
      <c r="C32" s="188"/>
      <c r="D32" s="188"/>
      <c r="E32" s="188"/>
      <c r="F32" s="188"/>
      <c r="G32" s="189">
        <f>SUM(G23:G31)</f>
        <v>45009</v>
      </c>
      <c r="H32" s="189">
        <f>SUM(H23:H31)</f>
        <v>48877</v>
      </c>
      <c r="I32" s="189">
        <f>SUM(I23:I31)</f>
        <v>49195</v>
      </c>
      <c r="J32" s="189">
        <f>SUM(J23:J31)</f>
        <v>54691</v>
      </c>
      <c r="K32" s="189">
        <f>SUM(K23:K31)</f>
        <v>59762</v>
      </c>
    </row>
    <row r="33" spans="1:11" ht="15" customHeight="1" x14ac:dyDescent="0.2">
      <c r="B33" t="s">
        <v>714</v>
      </c>
      <c r="G33" s="23">
        <f>-'Raw FS'!H26</f>
        <v>-19209</v>
      </c>
      <c r="H33" s="23">
        <f>-'Raw FS'!I26</f>
        <v>-19652</v>
      </c>
      <c r="I33" s="23">
        <f>-'Raw FS'!J26</f>
        <v>-21573</v>
      </c>
      <c r="J33" s="23">
        <f>-'Raw FS'!K26</f>
        <v>-23730</v>
      </c>
      <c r="K33" s="23">
        <f>-'Raw FS'!L26</f>
        <v>-25992</v>
      </c>
    </row>
    <row r="34" spans="1:11" ht="15.75" customHeight="1" x14ac:dyDescent="0.2">
      <c r="A34" t="s">
        <v>173</v>
      </c>
      <c r="B34" s="192" t="s">
        <v>715</v>
      </c>
      <c r="C34" s="190"/>
      <c r="D34" s="190"/>
      <c r="E34" s="190"/>
      <c r="F34" s="190"/>
      <c r="G34" s="193">
        <f>SUM(G32:G33)</f>
        <v>25800</v>
      </c>
      <c r="H34" s="193">
        <f>SUM(H32:H33)</f>
        <v>29225</v>
      </c>
      <c r="I34" s="193">
        <f>SUM(I32:I33)</f>
        <v>27622</v>
      </c>
      <c r="J34" s="193">
        <f>SUM(J32:J33)</f>
        <v>30961</v>
      </c>
      <c r="K34" s="193">
        <f>SUM(K32:K33)</f>
        <v>33770</v>
      </c>
    </row>
    <row r="36" spans="1:11" ht="15" customHeight="1" x14ac:dyDescent="0.2">
      <c r="A36" t="s">
        <v>173</v>
      </c>
      <c r="B36" s="54" t="s">
        <v>716</v>
      </c>
      <c r="G36" s="194">
        <f>SUM(G34,G20)</f>
        <v>42998</v>
      </c>
      <c r="H36" s="194">
        <f>SUM(H34,H20)</f>
        <v>52155</v>
      </c>
      <c r="I36" s="194">
        <f>SUM(I34,I20)</f>
        <v>57118</v>
      </c>
      <c r="J36" s="194">
        <f>SUM(J34,J20)</f>
        <v>55620</v>
      </c>
      <c r="K36" s="194">
        <f>SUM(K34,K20)</f>
        <v>57866</v>
      </c>
    </row>
    <row r="37" spans="1:11" ht="15" customHeight="1" x14ac:dyDescent="0.2">
      <c r="B37" s="54" t="s">
        <v>717</v>
      </c>
      <c r="C37" s="54"/>
      <c r="D37" s="54"/>
      <c r="E37" s="54"/>
      <c r="F37" s="54"/>
      <c r="G37" s="194">
        <f>(HistoricalFS!H27+HistoricalFS!H21)</f>
        <v>28015</v>
      </c>
      <c r="H37" s="194">
        <f>(HistoricalFS!I27+HistoricalFS!I21)</f>
        <v>30905</v>
      </c>
      <c r="I37" s="194">
        <f>(HistoricalFS!J27+HistoricalFS!J21)</f>
        <v>31747</v>
      </c>
      <c r="J37" s="194">
        <f>(HistoricalFS!K27+HistoricalFS!K21)</f>
        <v>34424</v>
      </c>
      <c r="K37" s="194">
        <f>(HistoricalFS!L27+HistoricalFS!L21)</f>
        <v>37378</v>
      </c>
    </row>
    <row r="39" spans="1:11" ht="15.75" customHeight="1" x14ac:dyDescent="0.2">
      <c r="A39" t="s">
        <v>173</v>
      </c>
      <c r="B39" s="192" t="s">
        <v>718</v>
      </c>
      <c r="C39" s="190"/>
      <c r="D39" s="190"/>
      <c r="E39" s="190"/>
      <c r="F39" s="190"/>
      <c r="G39" s="195">
        <f>G37*(1-G48)/G36</f>
        <v>0.48754882785245823</v>
      </c>
      <c r="H39" s="195">
        <f>H37*(1-H48)/H36</f>
        <v>0.44341312434090685</v>
      </c>
      <c r="I39" s="195">
        <f>I37*(1-I48)/I36</f>
        <v>0.41591582513393327</v>
      </c>
      <c r="J39" s="195">
        <f>J37*(1-J48)/J36</f>
        <v>0.46313339086659472</v>
      </c>
      <c r="K39" s="195">
        <f>K37*(1-K48)/K36</f>
        <v>0.48335736702035736</v>
      </c>
    </row>
    <row r="42" spans="1:11" ht="15" customHeight="1" x14ac:dyDescent="0.2">
      <c r="B42" s="186" t="s">
        <v>719</v>
      </c>
      <c r="C42" s="186"/>
      <c r="D42" s="186"/>
      <c r="E42" s="186"/>
      <c r="F42" s="186"/>
      <c r="G42" s="187">
        <f>G6</f>
        <v>44621</v>
      </c>
      <c r="H42" s="187">
        <f>H6</f>
        <v>44986</v>
      </c>
      <c r="I42" s="187">
        <f>I6</f>
        <v>45352</v>
      </c>
      <c r="J42" s="187">
        <f>J6</f>
        <v>45717</v>
      </c>
      <c r="K42" s="187">
        <f>K6</f>
        <v>46082</v>
      </c>
    </row>
    <row r="44" spans="1:11" ht="15" customHeight="1" x14ac:dyDescent="0.2">
      <c r="B44" t="s">
        <v>720</v>
      </c>
      <c r="G44" s="103">
        <f>-SUM('Cash Flow Data'!H12)-HistoricalFS!H24</f>
        <v>-1315</v>
      </c>
      <c r="H44" s="103">
        <f>-SUM('Cash Flow Data'!I12)-HistoricalFS!I24</f>
        <v>-1646</v>
      </c>
      <c r="I44" s="103">
        <f>-SUM('Cash Flow Data'!J12)-HistoricalFS!J24</f>
        <v>-2477</v>
      </c>
      <c r="J44" s="103">
        <f>-SUM('Cash Flow Data'!K12)-HistoricalFS!K24</f>
        <v>-2575</v>
      </c>
      <c r="K44" s="103">
        <f>-SUM('Cash Flow Data'!L12)-HistoricalFS!L24</f>
        <v>-2175</v>
      </c>
    </row>
    <row r="45" spans="1:11" ht="15" customHeight="1" x14ac:dyDescent="0.2">
      <c r="B45" t="s">
        <v>721</v>
      </c>
      <c r="H45" s="196">
        <f>H20-G20</f>
        <v>5732</v>
      </c>
      <c r="I45" s="196">
        <f>I20-H20</f>
        <v>6566</v>
      </c>
      <c r="J45" s="196">
        <f>J20-I20</f>
        <v>-4837</v>
      </c>
      <c r="K45" s="196">
        <f>K20-J20</f>
        <v>-563</v>
      </c>
    </row>
    <row r="47" spans="1:11" ht="15" customHeight="1" x14ac:dyDescent="0.2">
      <c r="B47" t="s">
        <v>344</v>
      </c>
      <c r="G47" s="196">
        <f>G37</f>
        <v>28015</v>
      </c>
      <c r="H47" s="196">
        <f>H37</f>
        <v>30905</v>
      </c>
      <c r="I47" s="196">
        <f>I37</f>
        <v>31747</v>
      </c>
      <c r="J47" s="196">
        <f>J37</f>
        <v>34424</v>
      </c>
      <c r="K47" s="196">
        <f>K37</f>
        <v>37378</v>
      </c>
    </row>
    <row r="48" spans="1:11" ht="15" customHeight="1" x14ac:dyDescent="0.2">
      <c r="B48" t="s">
        <v>722</v>
      </c>
      <c r="G48" s="197">
        <f>WACC!$E$28</f>
        <v>0.25169999999999998</v>
      </c>
      <c r="H48" s="197">
        <f>WACC!$E$28</f>
        <v>0.25169999999999998</v>
      </c>
      <c r="I48" s="197">
        <f>WACC!$E$28</f>
        <v>0.25169999999999998</v>
      </c>
      <c r="J48" s="197">
        <f>WACC!$E$28</f>
        <v>0.25169999999999998</v>
      </c>
      <c r="K48" s="197">
        <f>WACC!$E$28</f>
        <v>0.25169999999999998</v>
      </c>
    </row>
    <row r="49" spans="2:11" ht="15" customHeight="1" x14ac:dyDescent="0.2">
      <c r="B49" t="s">
        <v>723</v>
      </c>
      <c r="G49">
        <f>G47*(1-G48)</f>
        <v>20963.624499999998</v>
      </c>
      <c r="H49">
        <f>H47*(1-H48)</f>
        <v>23126.211499999998</v>
      </c>
      <c r="I49">
        <f>I47*(1-I48)</f>
        <v>23756.2801</v>
      </c>
      <c r="J49">
        <f>J47*(1-J48)</f>
        <v>25759.479199999998</v>
      </c>
      <c r="K49">
        <f>K47*(1-K48)</f>
        <v>27969.957399999999</v>
      </c>
    </row>
    <row r="51" spans="2:11" ht="15" customHeight="1" x14ac:dyDescent="0.2">
      <c r="B51" t="s">
        <v>724</v>
      </c>
      <c r="H51" s="103">
        <f>SUM(H44:H45)</f>
        <v>4086</v>
      </c>
      <c r="I51" s="103">
        <f>SUM(I44:I45)</f>
        <v>4089</v>
      </c>
      <c r="J51" s="103">
        <f>SUM(J44:J45)</f>
        <v>-7412</v>
      </c>
      <c r="K51" s="103">
        <f>SUM(K44:K45)</f>
        <v>-2738</v>
      </c>
    </row>
    <row r="52" spans="2:11" ht="15" customHeight="1" x14ac:dyDescent="0.2">
      <c r="H52" s="103"/>
      <c r="I52" s="103"/>
      <c r="J52" s="103"/>
      <c r="K52" s="103"/>
    </row>
    <row r="53" spans="2:11" ht="15" customHeight="1" x14ac:dyDescent="0.2">
      <c r="B53" s="54" t="s">
        <v>410</v>
      </c>
      <c r="C53" s="54"/>
      <c r="D53" s="54"/>
      <c r="E53" s="54"/>
      <c r="F53" s="54"/>
      <c r="G53" s="54"/>
      <c r="H53" s="66">
        <f>H51/H49</f>
        <v>0.17668263563186734</v>
      </c>
      <c r="I53" s="66">
        <f>I51/I49</f>
        <v>0.17212290740754485</v>
      </c>
      <c r="J53" s="66">
        <f>J51/J49</f>
        <v>-0.28773873658128929</v>
      </c>
      <c r="K53" s="66">
        <f>K51/K49</f>
        <v>-9.7890746161808595E-2</v>
      </c>
    </row>
    <row r="55" spans="2:11" ht="15" customHeight="1" x14ac:dyDescent="0.2">
      <c r="J55" s="198" t="s">
        <v>725</v>
      </c>
      <c r="K55" s="199">
        <f>AVERAGE(H53:K53)</f>
        <v>-9.2059849259214233E-3</v>
      </c>
    </row>
    <row r="56" spans="2:11" ht="15" customHeight="1" x14ac:dyDescent="0.2">
      <c r="J56" s="198" t="s">
        <v>726</v>
      </c>
      <c r="K56" s="199">
        <f>MEDIAN(H53:K53)</f>
        <v>3.7116080622868142E-2</v>
      </c>
    </row>
    <row r="57" spans="2:11" ht="15" customHeight="1" x14ac:dyDescent="0.2">
      <c r="J57" s="54"/>
      <c r="K57" s="66"/>
    </row>
    <row r="58" spans="2:11" ht="15" customHeight="1" x14ac:dyDescent="0.2">
      <c r="B58" s="186" t="s">
        <v>727</v>
      </c>
      <c r="C58" s="186"/>
      <c r="D58" s="186"/>
      <c r="E58" s="186"/>
      <c r="F58" s="186"/>
      <c r="G58" s="187">
        <f>G42</f>
        <v>44621</v>
      </c>
      <c r="H58" s="187">
        <f>H42</f>
        <v>44986</v>
      </c>
      <c r="I58" s="187">
        <f>I42</f>
        <v>45352</v>
      </c>
      <c r="J58" s="187">
        <f>J42</f>
        <v>45717</v>
      </c>
      <c r="K58" s="187">
        <f>K42</f>
        <v>46082</v>
      </c>
    </row>
    <row r="60" spans="2:11" ht="15" customHeight="1" x14ac:dyDescent="0.2">
      <c r="B60" t="s">
        <v>410</v>
      </c>
      <c r="H60" s="50">
        <f>H53</f>
        <v>0.17668263563186734</v>
      </c>
      <c r="I60" s="50">
        <f>I53</f>
        <v>0.17212290740754485</v>
      </c>
      <c r="J60" s="50">
        <f>J53</f>
        <v>-0.28773873658128929</v>
      </c>
      <c r="K60" s="50">
        <f>K53</f>
        <v>-9.7890746161808595E-2</v>
      </c>
    </row>
    <row r="61" spans="2:11" ht="15" customHeight="1" x14ac:dyDescent="0.2">
      <c r="B61" t="s">
        <v>718</v>
      </c>
      <c r="H61" s="50">
        <f>H39</f>
        <v>0.44341312434090685</v>
      </c>
      <c r="I61" s="50">
        <f>I39</f>
        <v>0.41591582513393327</v>
      </c>
      <c r="J61" s="50">
        <f>J39</f>
        <v>0.46313339086659472</v>
      </c>
      <c r="K61" s="50">
        <f>K39</f>
        <v>0.48335736702035736</v>
      </c>
    </row>
    <row r="63" spans="2:11" ht="15" customHeight="1" x14ac:dyDescent="0.2">
      <c r="B63" s="54" t="s">
        <v>728</v>
      </c>
      <c r="C63" s="54"/>
      <c r="D63" s="54"/>
      <c r="E63" s="54"/>
      <c r="F63" s="54"/>
      <c r="G63" s="54"/>
      <c r="H63" s="66">
        <f>H60*H61</f>
        <v>7.8343399482312337E-2</v>
      </c>
      <c r="I63" s="66">
        <f>I60*I61</f>
        <v>7.1588641058860605E-2</v>
      </c>
      <c r="J63" s="66">
        <f>J60*J61</f>
        <v>-0.13326141675656239</v>
      </c>
      <c r="K63" s="66">
        <f>K60*K61</f>
        <v>-4.7316213320429956E-2</v>
      </c>
    </row>
    <row r="65" spans="10:11" ht="15" customHeight="1" x14ac:dyDescent="0.2">
      <c r="J65" s="198" t="s">
        <v>725</v>
      </c>
      <c r="K65" s="183">
        <f>AVERAGE(H63:K63)</f>
        <v>-7.6613973839548544E-3</v>
      </c>
    </row>
    <row r="66" spans="10:11" ht="15" customHeight="1" x14ac:dyDescent="0.2">
      <c r="J66" s="198" t="s">
        <v>726</v>
      </c>
      <c r="K66" s="183">
        <f>MEDIAN(H63:K63)</f>
        <v>1.2136213869215325E-2</v>
      </c>
    </row>
  </sheetData>
  <pageMargins left="0.7" right="0.7"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BF8F00"/>
  </sheetPr>
  <dimension ref="A1:L76"/>
  <sheetViews>
    <sheetView showGridLines="0" topLeftCell="B9" zoomScale="90" zoomScaleNormal="90" workbookViewId="0">
      <selection activeCell="F26" sqref="F26"/>
    </sheetView>
  </sheetViews>
  <sheetFormatPr baseColWidth="10" defaultColWidth="10.6640625" defaultRowHeight="15" outlineLevelRow="1" x14ac:dyDescent="0.2"/>
  <cols>
    <col min="1" max="1" width="2.5" customWidth="1"/>
    <col min="2" max="2" width="29" customWidth="1"/>
    <col min="4" max="4" width="12" customWidth="1"/>
    <col min="7" max="7" width="11.6640625" customWidth="1"/>
    <col min="8" max="8" width="14.6640625" customWidth="1"/>
    <col min="9" max="11" width="11.6640625" customWidth="1"/>
  </cols>
  <sheetData>
    <row r="1" spans="1:11" ht="15" customHeight="1" x14ac:dyDescent="0.2">
      <c r="A1" s="1" t="str">
        <f>'Data Sheet'!B1&amp;" - DCF Valuation"</f>
        <v>INFOSYS LTD - DCF Valuation</v>
      </c>
      <c r="B1" s="1"/>
      <c r="C1" s="1"/>
      <c r="D1" s="1"/>
      <c r="E1" s="1"/>
      <c r="F1" s="1"/>
      <c r="G1" s="1"/>
      <c r="H1" s="1"/>
    </row>
    <row r="6" spans="1:11" ht="15" customHeight="1" x14ac:dyDescent="0.2">
      <c r="B6" s="114" t="s">
        <v>729</v>
      </c>
      <c r="C6" s="114"/>
      <c r="D6" s="114"/>
      <c r="E6" s="114"/>
      <c r="F6" s="200">
        <f>HistoricalFS!$L$3</f>
        <v>46112</v>
      </c>
      <c r="G6" s="201">
        <f>F6+365</f>
        <v>46477</v>
      </c>
      <c r="H6" s="201">
        <f>G6+365</f>
        <v>46842</v>
      </c>
      <c r="I6" s="201">
        <f>H6+365</f>
        <v>47207</v>
      </c>
      <c r="J6" s="201">
        <f>I6+365</f>
        <v>47572</v>
      </c>
      <c r="K6" s="201">
        <f>J6+365</f>
        <v>47937</v>
      </c>
    </row>
    <row r="7" spans="1:11" ht="15" customHeight="1" x14ac:dyDescent="0.2">
      <c r="B7" s="202" t="s">
        <v>730</v>
      </c>
    </row>
    <row r="8" spans="1:11" ht="15" customHeight="1" x14ac:dyDescent="0.2">
      <c r="B8" t="s">
        <v>717</v>
      </c>
      <c r="F8" s="203">
        <f>'Normalization Bridge'!B5</f>
        <v>37543</v>
      </c>
      <c r="G8" s="23">
        <f>Forecasting!$R$7</f>
        <v>38384.840042121745</v>
      </c>
      <c r="H8" s="23">
        <f>Forecasting!$S$7</f>
        <v>39524.432538111389</v>
      </c>
      <c r="I8" s="23">
        <f>Forecasting!$T$7</f>
        <v>40801.562229314681</v>
      </c>
      <c r="J8" s="23">
        <f>Forecasting!$U$7</f>
        <v>42094.066161465264</v>
      </c>
      <c r="K8" s="23">
        <f>Forecasting!$V$7</f>
        <v>43391.959939338536</v>
      </c>
    </row>
    <row r="9" spans="1:11" ht="15" customHeight="1" x14ac:dyDescent="0.2">
      <c r="F9" s="204"/>
    </row>
    <row r="10" spans="1:11" ht="15" customHeight="1" x14ac:dyDescent="0.2">
      <c r="B10" t="s">
        <v>478</v>
      </c>
      <c r="F10" s="205">
        <f>'Operating Drivers'!$B$38</f>
        <v>0.29499999999999998</v>
      </c>
      <c r="G10" s="50">
        <f>F10</f>
        <v>0.29499999999999998</v>
      </c>
      <c r="H10" s="50">
        <f>G10</f>
        <v>0.29499999999999998</v>
      </c>
      <c r="I10" s="50">
        <f>H10</f>
        <v>0.29499999999999998</v>
      </c>
      <c r="J10" s="50">
        <f>I10</f>
        <v>0.29499999999999998</v>
      </c>
      <c r="K10" s="50">
        <f>J10</f>
        <v>0.29499999999999998</v>
      </c>
    </row>
    <row r="11" spans="1:11" ht="15" customHeight="1" x14ac:dyDescent="0.2">
      <c r="F11" s="204"/>
    </row>
    <row r="12" spans="1:11" ht="15" customHeight="1" x14ac:dyDescent="0.2">
      <c r="B12" t="s">
        <v>723</v>
      </c>
      <c r="F12" s="206">
        <f t="shared" ref="F12:K12" si="0">F8*(1-F10)</f>
        <v>26467.815000000002</v>
      </c>
      <c r="G12" s="23">
        <f t="shared" si="0"/>
        <v>27061.312229695832</v>
      </c>
      <c r="H12" s="23">
        <f t="shared" si="0"/>
        <v>27864.724939368531</v>
      </c>
      <c r="I12" s="23">
        <f t="shared" si="0"/>
        <v>28765.101371666853</v>
      </c>
      <c r="J12" s="23">
        <f t="shared" si="0"/>
        <v>29676.316643833015</v>
      </c>
      <c r="K12" s="23">
        <f t="shared" si="0"/>
        <v>30591.331757233671</v>
      </c>
    </row>
    <row r="13" spans="1:11" ht="15" customHeight="1" x14ac:dyDescent="0.2">
      <c r="F13" s="204"/>
    </row>
    <row r="14" spans="1:11" ht="15" customHeight="1" x14ac:dyDescent="0.2">
      <c r="B14" t="s">
        <v>731</v>
      </c>
      <c r="F14" s="207">
        <v>0</v>
      </c>
      <c r="G14" s="50">
        <f>Forecasting!$R$10</f>
        <v>5.46222471001645E-2</v>
      </c>
      <c r="H14" s="50">
        <f>Forecasting!$S$10</f>
        <v>5.9037192070059523E-2</v>
      </c>
      <c r="I14" s="50">
        <f>Forecasting!$T$10</f>
        <v>6.3546567694468814E-2</v>
      </c>
      <c r="J14" s="50">
        <f>Forecasting!$U$10</f>
        <v>6.826075617842188E-2</v>
      </c>
      <c r="K14" s="50">
        <f>Forecasting!$V$10</f>
        <v>7.5000000000000067E-2</v>
      </c>
    </row>
    <row r="15" spans="1:11" ht="15" customHeight="1" x14ac:dyDescent="0.2">
      <c r="F15" s="204"/>
    </row>
    <row r="16" spans="1:11" ht="15.75" customHeight="1" x14ac:dyDescent="0.2">
      <c r="B16" s="192" t="s">
        <v>732</v>
      </c>
      <c r="C16" s="192"/>
      <c r="D16" s="192"/>
      <c r="E16" s="192"/>
      <c r="F16" s="208">
        <f t="shared" ref="F16:K16" si="1">F12*(1-F14)</f>
        <v>26467.815000000002</v>
      </c>
      <c r="G16" s="193">
        <f t="shared" si="1"/>
        <v>25583.162546230684</v>
      </c>
      <c r="H16" s="193">
        <f t="shared" si="1"/>
        <v>26219.669821143652</v>
      </c>
      <c r="I16" s="193">
        <f t="shared" si="1"/>
        <v>26937.177910113965</v>
      </c>
      <c r="J16" s="193">
        <f t="shared" si="1"/>
        <v>27650.588829134686</v>
      </c>
      <c r="K16" s="193">
        <f t="shared" si="1"/>
        <v>28296.981875441143</v>
      </c>
    </row>
    <row r="17" spans="2:12" ht="15" customHeight="1" x14ac:dyDescent="0.2">
      <c r="F17" s="204"/>
    </row>
    <row r="18" spans="2:12" ht="15" customHeight="1" x14ac:dyDescent="0.2">
      <c r="B18" t="s">
        <v>733</v>
      </c>
      <c r="F18" s="204"/>
      <c r="G18" s="209">
        <f>Forecasting!$R$12</f>
        <v>0.5</v>
      </c>
      <c r="H18" s="210">
        <f>Forecasting!$S$12</f>
        <v>1.5</v>
      </c>
      <c r="I18" s="210">
        <f>Forecasting!$T$12</f>
        <v>2.5</v>
      </c>
      <c r="J18" s="210">
        <f>Forecasting!$U$12</f>
        <v>3.5</v>
      </c>
      <c r="K18" s="210">
        <f>Forecasting!$V$12</f>
        <v>4.5</v>
      </c>
    </row>
    <row r="19" spans="2:12" ht="15" customHeight="1" x14ac:dyDescent="0.2">
      <c r="F19" s="204"/>
    </row>
    <row r="20" spans="2:12" ht="15" customHeight="1" x14ac:dyDescent="0.2">
      <c r="B20" t="s">
        <v>734</v>
      </c>
      <c r="F20" s="204"/>
      <c r="G20" s="181">
        <f>Forecasting!$R$14</f>
        <v>0.94663238039302655</v>
      </c>
      <c r="H20" s="181">
        <f>Forecasting!$S$14</f>
        <v>0.84828945317859006</v>
      </c>
      <c r="I20" s="181">
        <f>Forecasting!$T$14</f>
        <v>0.76016309105681246</v>
      </c>
      <c r="J20" s="181">
        <f>Forecasting!$U$14</f>
        <v>0.68119192433646059</v>
      </c>
      <c r="K20" s="181">
        <f>Forecasting!$V$14</f>
        <v>0.61042484598417646</v>
      </c>
    </row>
    <row r="21" spans="2:12" ht="15" customHeight="1" x14ac:dyDescent="0.2">
      <c r="F21" s="204"/>
    </row>
    <row r="22" spans="2:12" ht="15.75" customHeight="1" x14ac:dyDescent="0.2">
      <c r="B22" s="190" t="s">
        <v>735</v>
      </c>
      <c r="C22" s="190"/>
      <c r="D22" s="190"/>
      <c r="E22" s="190"/>
      <c r="F22" s="211"/>
      <c r="G22" s="212">
        <f>Forecasting!$R$15</f>
        <v>24217.850059120075</v>
      </c>
      <c r="H22" s="212">
        <f>Forecasting!$S$15</f>
        <v>22241.869375101131</v>
      </c>
      <c r="I22" s="212">
        <f>Forecasting!$T$15</f>
        <v>20476.648424499519</v>
      </c>
      <c r="J22" s="212">
        <f>Forecasting!$U$15</f>
        <v>18835.357813554496</v>
      </c>
      <c r="K22" s="212">
        <f>Forecasting!$V$15</f>
        <v>17273.180803133193</v>
      </c>
    </row>
    <row r="24" spans="2:12" ht="15" customHeight="1" outlineLevel="1" x14ac:dyDescent="0.2">
      <c r="B24" s="166" t="s">
        <v>736</v>
      </c>
      <c r="C24" s="166"/>
      <c r="D24" s="166"/>
      <c r="E24" s="166"/>
      <c r="F24" s="213">
        <f>'Operating Drivers'!$B$34</f>
        <v>2.4580011195074025E-2</v>
      </c>
    </row>
    <row r="25" spans="2:12" ht="15" customHeight="1" outlineLevel="1" x14ac:dyDescent="0.2">
      <c r="B25" s="166" t="s">
        <v>55</v>
      </c>
      <c r="C25" s="166"/>
      <c r="D25" s="166"/>
      <c r="E25" s="166"/>
      <c r="F25" s="214">
        <f>'Operating Drivers'!$B$44</f>
        <v>0.03</v>
      </c>
    </row>
    <row r="26" spans="2:12" ht="15" customHeight="1" outlineLevel="1" x14ac:dyDescent="0.2">
      <c r="B26" s="166" t="s">
        <v>52</v>
      </c>
      <c r="C26" s="166"/>
      <c r="D26" s="166"/>
      <c r="E26" s="166"/>
      <c r="F26" s="215">
        <f>WACC!L45</f>
        <v>0.11593086162505005</v>
      </c>
    </row>
    <row r="28" spans="2:12" ht="15" customHeight="1" x14ac:dyDescent="0.2">
      <c r="B28" s="114" t="s">
        <v>737</v>
      </c>
      <c r="C28" s="114"/>
      <c r="D28" s="114"/>
      <c r="G28" s="114" t="s">
        <v>738</v>
      </c>
      <c r="H28" s="114"/>
      <c r="I28" s="114"/>
      <c r="J28" s="216"/>
      <c r="K28" s="216"/>
    </row>
    <row r="29" spans="2:12" ht="15" customHeight="1" x14ac:dyDescent="0.2">
      <c r="G29" s="217" t="s">
        <v>739</v>
      </c>
      <c r="H29" s="218">
        <f>$J$29-0.02</f>
        <v>9.5930861625050046E-2</v>
      </c>
      <c r="I29" s="219">
        <f>$J$29-0.01</f>
        <v>0.10593086162505005</v>
      </c>
      <c r="J29" s="219">
        <f>$F$26</f>
        <v>0.11593086162505005</v>
      </c>
      <c r="K29" s="219">
        <f>$J$29+0.01</f>
        <v>0.12593086162505004</v>
      </c>
      <c r="L29" s="25">
        <f>$J$29+0.02</f>
        <v>0.13593086162505005</v>
      </c>
    </row>
    <row r="30" spans="2:12" ht="15" customHeight="1" x14ac:dyDescent="0.2">
      <c r="B30" t="s">
        <v>740</v>
      </c>
      <c r="D30" s="23">
        <f>K16*(1+F25)</f>
        <v>29145.891331704377</v>
      </c>
      <c r="G30" s="220">
        <v>0.02</v>
      </c>
      <c r="H30" s="221">
        <f t="shared" ref="H30:L34" si="2">(SUMPRODUCT($G$16:$K$16,1/(1+H$29)^$G$18:$K$18)+($K$16*(1+$G30)/(H$29-$G30))/(1+H$29)^($K$18)-$D$43)/$D$46</f>
        <v>917.30669886216174</v>
      </c>
      <c r="I30" s="221">
        <f t="shared" si="2"/>
        <v>817.55738795978402</v>
      </c>
      <c r="J30" s="221">
        <f t="shared" si="2"/>
        <v>738.59619706252374</v>
      </c>
      <c r="K30" s="221">
        <f t="shared" si="2"/>
        <v>674.53580233491164</v>
      </c>
      <c r="L30" s="222">
        <f t="shared" si="2"/>
        <v>621.52020913550609</v>
      </c>
    </row>
    <row r="31" spans="2:12" ht="15" customHeight="1" x14ac:dyDescent="0.2">
      <c r="B31" t="s">
        <v>52</v>
      </c>
      <c r="D31" s="50">
        <f>F26</f>
        <v>0.11593086162505005</v>
      </c>
      <c r="G31" s="220">
        <v>2.5000000000000001E-2</v>
      </c>
      <c r="H31" s="221">
        <f t="shared" si="2"/>
        <v>964.28450847610145</v>
      </c>
      <c r="I31" s="221">
        <f t="shared" si="2"/>
        <v>852.80065207484586</v>
      </c>
      <c r="J31" s="221">
        <f t="shared" si="2"/>
        <v>765.82240865516451</v>
      </c>
      <c r="K31" s="221">
        <f t="shared" si="2"/>
        <v>696.066091331297</v>
      </c>
      <c r="L31" s="222">
        <f t="shared" si="2"/>
        <v>638.87439643053392</v>
      </c>
    </row>
    <row r="32" spans="2:12" ht="15" customHeight="1" x14ac:dyDescent="0.2">
      <c r="B32" t="s">
        <v>741</v>
      </c>
      <c r="D32" s="50">
        <f>F25</f>
        <v>0.03</v>
      </c>
      <c r="G32" s="220">
        <v>0.03</v>
      </c>
      <c r="H32" s="221">
        <f t="shared" si="2"/>
        <v>1018.3876321623957</v>
      </c>
      <c r="I32" s="221">
        <f t="shared" si="2"/>
        <v>892.68541022287354</v>
      </c>
      <c r="J32" s="221">
        <f t="shared" si="2"/>
        <v>796.21700597998142</v>
      </c>
      <c r="K32" s="221">
        <f t="shared" si="2"/>
        <v>719.84073512984605</v>
      </c>
      <c r="L32" s="222">
        <f t="shared" si="2"/>
        <v>657.86683975678852</v>
      </c>
    </row>
    <row r="33" spans="2:12" ht="15" customHeight="1" x14ac:dyDescent="0.2">
      <c r="G33" s="220">
        <v>3.5000000000000003E-2</v>
      </c>
      <c r="H33" s="221">
        <f t="shared" si="2"/>
        <v>1081.3701844737479</v>
      </c>
      <c r="I33" s="221">
        <f t="shared" si="2"/>
        <v>938.19321555152953</v>
      </c>
      <c r="J33" s="221">
        <f t="shared" si="2"/>
        <v>830.36722837964749</v>
      </c>
      <c r="K33" s="221">
        <f t="shared" si="2"/>
        <v>746.22996361105015</v>
      </c>
      <c r="L33" s="222">
        <f t="shared" si="2"/>
        <v>678.74101113137874</v>
      </c>
    </row>
    <row r="34" spans="2:12" ht="15.75" customHeight="1" x14ac:dyDescent="0.2">
      <c r="B34" s="192" t="s">
        <v>120</v>
      </c>
      <c r="C34" s="192"/>
      <c r="D34" s="193">
        <f>D30/(D31-D32)</f>
        <v>339178.39040040463</v>
      </c>
      <c r="G34" s="220">
        <v>0.04</v>
      </c>
      <c r="H34" s="221">
        <f t="shared" si="2"/>
        <v>1155.6135238499548</v>
      </c>
      <c r="I34" s="221">
        <f t="shared" si="2"/>
        <v>990.60337346696963</v>
      </c>
      <c r="J34" s="221">
        <f t="shared" si="2"/>
        <v>869.01499257836474</v>
      </c>
      <c r="K34" s="221">
        <f t="shared" si="2"/>
        <v>775.69017590204669</v>
      </c>
      <c r="L34" s="222">
        <f t="shared" si="2"/>
        <v>701.79114246515076</v>
      </c>
    </row>
    <row r="37" spans="2:12" ht="15" customHeight="1" x14ac:dyDescent="0.2">
      <c r="B37" s="114" t="s">
        <v>742</v>
      </c>
      <c r="C37" s="114"/>
      <c r="D37" s="114"/>
    </row>
    <row r="39" spans="2:12" ht="15" customHeight="1" x14ac:dyDescent="0.2">
      <c r="B39" t="s">
        <v>735</v>
      </c>
      <c r="D39" s="23">
        <f>SUM(G22:K22)</f>
        <v>103044.90647540841</v>
      </c>
    </row>
    <row r="40" spans="2:12" ht="15" customHeight="1" x14ac:dyDescent="0.2">
      <c r="B40" t="s">
        <v>743</v>
      </c>
      <c r="D40" s="23">
        <f>D34/(1+$F$26)^$K$18</f>
        <v>207042.9167213279</v>
      </c>
    </row>
    <row r="41" spans="2:12" ht="15" customHeight="1" x14ac:dyDescent="0.2">
      <c r="B41" s="54" t="s">
        <v>744</v>
      </c>
      <c r="C41" s="54"/>
      <c r="D41" s="223">
        <f>SUM(D39:D40)</f>
        <v>310087.82319673628</v>
      </c>
    </row>
    <row r="43" spans="2:12" ht="15" customHeight="1" x14ac:dyDescent="0.2">
      <c r="B43" t="s">
        <v>745</v>
      </c>
      <c r="D43" s="23">
        <f>'Data&gt;'!I3</f>
        <v>-13025</v>
      </c>
      <c r="E43" s="23"/>
    </row>
    <row r="44" spans="2:12" ht="15" customHeight="1" x14ac:dyDescent="0.2">
      <c r="D44" s="23"/>
    </row>
    <row r="45" spans="2:12" ht="15" customHeight="1" x14ac:dyDescent="0.2">
      <c r="B45" s="54" t="s">
        <v>746</v>
      </c>
      <c r="D45" s="224">
        <f>D41-D43</f>
        <v>323112.82319673628</v>
      </c>
    </row>
    <row r="46" spans="2:12" ht="15" customHeight="1" x14ac:dyDescent="0.2">
      <c r="B46" s="54" t="s">
        <v>747</v>
      </c>
      <c r="D46" s="23">
        <f>'Data Sheet'!B6</f>
        <v>405.81</v>
      </c>
    </row>
    <row r="47" spans="2:12" ht="15" customHeight="1" x14ac:dyDescent="0.2">
      <c r="B47" s="54"/>
    </row>
    <row r="48" spans="2:12" ht="15.75" customHeight="1" x14ac:dyDescent="0.2">
      <c r="B48" s="192" t="s">
        <v>748</v>
      </c>
      <c r="C48" s="192"/>
      <c r="D48" s="225">
        <f>D45/D46</f>
        <v>796.21700597998142</v>
      </c>
    </row>
    <row r="50" spans="2:8" ht="15.75" customHeight="1" x14ac:dyDescent="0.2">
      <c r="B50" s="54" t="s">
        <v>749</v>
      </c>
      <c r="D50" s="193">
        <f>'Data Sheet'!B8</f>
        <v>1121</v>
      </c>
    </row>
    <row r="51" spans="2:8" ht="15" customHeight="1" x14ac:dyDescent="0.2">
      <c r="B51" s="54" t="s">
        <v>750</v>
      </c>
      <c r="D51" s="226">
        <f>D50/D48-1</f>
        <v>0.40790763269402497</v>
      </c>
    </row>
    <row r="53" spans="2:8" ht="15" customHeight="1" x14ac:dyDescent="0.2">
      <c r="B53" s="227" t="s">
        <v>751</v>
      </c>
      <c r="C53" s="228"/>
      <c r="D53" s="228"/>
      <c r="E53" s="228"/>
      <c r="F53" s="228"/>
      <c r="G53" s="228"/>
      <c r="H53" s="228"/>
    </row>
    <row r="55" spans="2:8" ht="15" customHeight="1" x14ac:dyDescent="0.2">
      <c r="B55" t="s">
        <v>752</v>
      </c>
      <c r="F55" s="153">
        <f>'Intrinsic Growth'!K55</f>
        <v>-9.2059849259214233E-3</v>
      </c>
    </row>
    <row r="56" spans="2:8" ht="15" customHeight="1" x14ac:dyDescent="0.2">
      <c r="B56" t="s">
        <v>753</v>
      </c>
      <c r="F56" s="153">
        <f>'Intrinsic Growth'!K56</f>
        <v>3.7116080622868142E-2</v>
      </c>
    </row>
    <row r="57" spans="2:8" ht="15" customHeight="1" x14ac:dyDescent="0.2">
      <c r="B57" t="s">
        <v>754</v>
      </c>
      <c r="F57" s="153">
        <f>'Intrinsic Growth'!K39</f>
        <v>0.48335736702035736</v>
      </c>
    </row>
    <row r="58" spans="2:8" ht="15" customHeight="1" x14ac:dyDescent="0.2">
      <c r="B58" t="s">
        <v>755</v>
      </c>
      <c r="F58" s="229">
        <f>'Operating Drivers'!B37*'Operating Drivers'!B36</f>
        <v>2.4580011195074025E-2</v>
      </c>
    </row>
    <row r="59" spans="2:8" ht="15" customHeight="1" x14ac:dyDescent="0.2">
      <c r="B59" t="s">
        <v>756</v>
      </c>
      <c r="F59" s="229">
        <f>F24</f>
        <v>2.4580011195074025E-2</v>
      </c>
    </row>
    <row r="60" spans="2:8" ht="15" customHeight="1" x14ac:dyDescent="0.2">
      <c r="B60" s="120" t="s">
        <v>757</v>
      </c>
      <c r="F60" s="50">
        <f>'Operating Drivers'!B45</f>
        <v>0.4</v>
      </c>
    </row>
    <row r="61" spans="2:8" ht="15" customHeight="1" x14ac:dyDescent="0.2">
      <c r="B61" s="28" t="s">
        <v>758</v>
      </c>
    </row>
    <row r="63" spans="2:8" ht="15" customHeight="1" x14ac:dyDescent="0.2">
      <c r="B63" t="s">
        <v>759</v>
      </c>
      <c r="D63" s="230">
        <f>D34</f>
        <v>339178.39040040463</v>
      </c>
    </row>
    <row r="64" spans="2:8" ht="15" customHeight="1" x14ac:dyDescent="0.2">
      <c r="B64" t="s">
        <v>760</v>
      </c>
      <c r="D64" s="231">
        <f>Forecasting!V5*(Forecasting!V6+HistoricalFS!L25)</f>
        <v>49000.857447064845</v>
      </c>
    </row>
    <row r="65" spans="2:6" ht="15" customHeight="1" x14ac:dyDescent="0.2">
      <c r="B65" t="s">
        <v>761</v>
      </c>
      <c r="D65" s="232">
        <f>D63/D64</f>
        <v>6.9218868418132438</v>
      </c>
    </row>
    <row r="66" spans="2:6" ht="15" customHeight="1" x14ac:dyDescent="0.2">
      <c r="B66" t="s">
        <v>762</v>
      </c>
      <c r="D66" s="233">
        <f>'Comps Val'!P28</f>
        <v>11.551561746261456</v>
      </c>
    </row>
    <row r="67" spans="2:6" ht="15" customHeight="1" x14ac:dyDescent="0.2">
      <c r="B67" t="s">
        <v>763</v>
      </c>
      <c r="D67" s="234" t="str">
        <f>IF(D65&lt;D66*0.75,"INFO: implied TV multiple "&amp;TEXT(D65,"0.0x")&amp;" below core-peer median "&amp;TEXT(D66,"0.0x")&amp;"; reflects conservative terminal economics, not an exit-multiple input.",IF(D65&gt;D66*1.25,"INFO: implied TV multiple "&amp;TEXT(D65,"0.0x")&amp;" above core-peer median "&amp;TEXT(D66,"0.0x")&amp;"; review terminal economics.","INFO: implied TV multiple is within 25% of core-peer median; diagnostic only."))</f>
        <v>INFO: implied TV multiple 6.9x below core-peer median 11.6x; reflects conservative terminal economics, not an exit-multiple input.</v>
      </c>
    </row>
    <row r="68" spans="2:6" ht="15" customHeight="1" x14ac:dyDescent="0.2">
      <c r="F68" t="s">
        <v>764</v>
      </c>
    </row>
    <row r="69" spans="2:6" ht="15" customHeight="1" x14ac:dyDescent="0.2">
      <c r="B69" s="283" t="s">
        <v>765</v>
      </c>
      <c r="C69" s="283"/>
      <c r="D69" s="283"/>
    </row>
    <row r="70" spans="2:6" ht="15" customHeight="1" x14ac:dyDescent="0.2">
      <c r="B70" s="283"/>
      <c r="C70" s="283"/>
      <c r="D70" s="283"/>
    </row>
    <row r="73" spans="2:6" ht="15" customHeight="1" x14ac:dyDescent="0.2">
      <c r="B73" s="235"/>
    </row>
    <row r="74" spans="2:6" ht="15" customHeight="1" x14ac:dyDescent="0.2">
      <c r="B74" s="235"/>
    </row>
    <row r="75" spans="2:6" ht="15" customHeight="1" x14ac:dyDescent="0.2">
      <c r="B75" s="235"/>
    </row>
    <row r="76" spans="2:6" ht="15" customHeight="1" x14ac:dyDescent="0.2">
      <c r="B76" s="235"/>
    </row>
  </sheetData>
  <mergeCells count="2">
    <mergeCell ref="A1:H1"/>
    <mergeCell ref="B69:D70"/>
  </mergeCells>
  <pageMargins left="0.7" right="0.7" top="0.75" bottom="0.75" header="0.511811023622047" footer="0.511811023622047"/>
  <pageSetup paperSize="9" orientation="portrait" horizontalDpi="300" verticalDpi="300"/>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BF8F00"/>
  </sheetPr>
  <dimension ref="A1:G18"/>
  <sheetViews>
    <sheetView zoomScaleNormal="100" workbookViewId="0">
      <pane xSplit="1" ySplit="2" topLeftCell="B3" activePane="bottomRight" state="frozen"/>
      <selection pane="topRight" activeCell="B1" sqref="B1"/>
      <selection pane="bottomLeft" activeCell="A3" sqref="A3"/>
      <selection pane="bottomRight"/>
    </sheetView>
  </sheetViews>
  <sheetFormatPr baseColWidth="10" defaultColWidth="8.6640625" defaultRowHeight="15" x14ac:dyDescent="0.2"/>
  <cols>
    <col min="1" max="1" width="42" customWidth="1"/>
    <col min="2" max="7" width="22" customWidth="1"/>
  </cols>
  <sheetData>
    <row r="1" spans="1:7" ht="17.25" customHeight="1" x14ac:dyDescent="0.2">
      <c r="A1" s="13" t="s">
        <v>766</v>
      </c>
      <c r="B1" s="13"/>
      <c r="C1" s="13"/>
      <c r="D1" s="13"/>
      <c r="E1" s="13"/>
      <c r="F1" s="13"/>
      <c r="G1" s="13"/>
    </row>
    <row r="2" spans="1:7" ht="15" customHeight="1" x14ac:dyDescent="0.2">
      <c r="A2" s="14" t="s">
        <v>501</v>
      </c>
      <c r="B2" s="14" t="s">
        <v>503</v>
      </c>
      <c r="C2" s="14" t="s">
        <v>128</v>
      </c>
      <c r="D2" s="14" t="s">
        <v>129</v>
      </c>
      <c r="E2" s="14" t="s">
        <v>130</v>
      </c>
      <c r="F2" s="14" t="s">
        <v>131</v>
      </c>
      <c r="G2" s="14" t="s">
        <v>132</v>
      </c>
    </row>
    <row r="3" spans="1:7" ht="15" customHeight="1" x14ac:dyDescent="0.2">
      <c r="A3" s="15" t="s">
        <v>325</v>
      </c>
      <c r="B3" s="134">
        <f>'Segment Profitability'!B31</f>
        <v>178650</v>
      </c>
      <c r="C3" s="134">
        <f>'Segment Profitability'!C31</f>
        <v>183041.21899999998</v>
      </c>
      <c r="D3" s="134">
        <f>'Segment Profitability'!D31</f>
        <v>187795.96442524996</v>
      </c>
      <c r="E3" s="134">
        <f>'Segment Profitability'!E31</f>
        <v>192927.49368067176</v>
      </c>
      <c r="F3" s="134">
        <f>'Segment Profitability'!F31</f>
        <v>198458.6318552969</v>
      </c>
      <c r="G3" s="134">
        <f>'Segment Profitability'!G31</f>
        <v>204412.39081095581</v>
      </c>
    </row>
    <row r="4" spans="1:7" ht="15" customHeight="1" x14ac:dyDescent="0.2">
      <c r="A4" s="15" t="s">
        <v>406</v>
      </c>
      <c r="B4" s="15"/>
      <c r="C4" s="15">
        <f>C3/B3-1</f>
        <v>2.4580011195074025E-2</v>
      </c>
      <c r="D4" s="15">
        <f>D3/C3-1</f>
        <v>2.5976364510826189E-2</v>
      </c>
      <c r="E4" s="15">
        <f>E3/D3-1</f>
        <v>2.7325024108621587E-2</v>
      </c>
      <c r="F4" s="15">
        <f>F3/E3-1</f>
        <v>2.8669517594937188E-2</v>
      </c>
      <c r="G4" s="15">
        <f>G3/F3-1</f>
        <v>3.0000000000000027E-2</v>
      </c>
    </row>
    <row r="5" spans="1:7" ht="15" customHeight="1" x14ac:dyDescent="0.2">
      <c r="A5" s="15" t="s">
        <v>521</v>
      </c>
      <c r="B5" s="134">
        <f>'Segment Profitability'!B32</f>
        <v>42445</v>
      </c>
      <c r="C5" s="134">
        <f>'Segment Profitability'!C32</f>
        <v>43407.331256999998</v>
      </c>
      <c r="D5" s="134">
        <f>'Segment Profitability'!D32</f>
        <v>44677.38981553974</v>
      </c>
      <c r="E5" s="134">
        <f>'Segment Profitability'!E32</f>
        <v>46095.324188579463</v>
      </c>
      <c r="F5" s="134">
        <f>'Segment Profitability'!F32</f>
        <v>47539.597722364597</v>
      </c>
      <c r="G5" s="134">
        <f>'Segment Profitability'!G32</f>
        <v>49000.857447064845</v>
      </c>
    </row>
    <row r="6" spans="1:7" ht="15" customHeight="1" x14ac:dyDescent="0.2">
      <c r="A6" s="15" t="s">
        <v>524</v>
      </c>
      <c r="B6" s="15">
        <f t="shared" ref="B6:G6" si="0">B5/B3</f>
        <v>0.23758746151693255</v>
      </c>
      <c r="C6" s="15">
        <f t="shared" si="0"/>
        <v>0.2371451167892408</v>
      </c>
      <c r="D6" s="15">
        <f t="shared" si="0"/>
        <v>0.23790388655195552</v>
      </c>
      <c r="E6" s="15">
        <f t="shared" si="0"/>
        <v>0.23892563630601643</v>
      </c>
      <c r="F6" s="15">
        <f t="shared" si="0"/>
        <v>0.23954411696754704</v>
      </c>
      <c r="G6" s="15">
        <f t="shared" si="0"/>
        <v>0.23971569068130369</v>
      </c>
    </row>
    <row r="7" spans="1:7" ht="15" customHeight="1" x14ac:dyDescent="0.2">
      <c r="A7" s="15" t="s">
        <v>767</v>
      </c>
      <c r="B7" s="15">
        <f>'Segment Profitability'!B32-'Normalization Bridge'!B5</f>
        <v>4902</v>
      </c>
      <c r="C7" s="15">
        <f>C3*'Operating Drivers'!B41</f>
        <v>5022.4912148782532</v>
      </c>
      <c r="D7" s="15">
        <f>D3*'Operating Drivers'!C41</f>
        <v>5152.9572774283533</v>
      </c>
      <c r="E7" s="15">
        <f>E3*'Operating Drivers'!D41</f>
        <v>5293.7619592647798</v>
      </c>
      <c r="F7" s="15">
        <f>F3*'Operating Drivers'!E41</f>
        <v>5445.5315608993305</v>
      </c>
      <c r="G7" s="15">
        <f>G3*'Operating Drivers'!F41</f>
        <v>5608.8975077263103</v>
      </c>
    </row>
    <row r="8" spans="1:7" ht="15" customHeight="1" x14ac:dyDescent="0.2">
      <c r="A8" s="15" t="s">
        <v>768</v>
      </c>
      <c r="B8" s="15">
        <f t="shared" ref="B8:G8" si="1">B5-B7</f>
        <v>37543</v>
      </c>
      <c r="C8" s="15">
        <f t="shared" si="1"/>
        <v>38384.840042121745</v>
      </c>
      <c r="D8" s="15">
        <f t="shared" si="1"/>
        <v>39524.432538111389</v>
      </c>
      <c r="E8" s="15">
        <f t="shared" si="1"/>
        <v>40801.562229314681</v>
      </c>
      <c r="F8" s="15">
        <f t="shared" si="1"/>
        <v>42094.066161465264</v>
      </c>
      <c r="G8" s="15">
        <f t="shared" si="1"/>
        <v>43391.959939338536</v>
      </c>
    </row>
    <row r="9" spans="1:7" ht="15" customHeight="1" x14ac:dyDescent="0.2">
      <c r="A9" s="15" t="s">
        <v>769</v>
      </c>
      <c r="B9" s="15">
        <f t="shared" ref="B9:G9" si="2">B8/B3</f>
        <v>0.2101483347327176</v>
      </c>
      <c r="C9" s="15">
        <f t="shared" si="2"/>
        <v>0.20970599000502585</v>
      </c>
      <c r="D9" s="15">
        <f t="shared" si="2"/>
        <v>0.21046475976774059</v>
      </c>
      <c r="E9" s="15">
        <f t="shared" si="2"/>
        <v>0.21148650952180148</v>
      </c>
      <c r="F9" s="15">
        <f t="shared" si="2"/>
        <v>0.21210499018333207</v>
      </c>
      <c r="G9" s="15">
        <f t="shared" si="2"/>
        <v>0.21227656389708874</v>
      </c>
    </row>
    <row r="10" spans="1:7" ht="15" customHeight="1" x14ac:dyDescent="0.2">
      <c r="A10" s="15" t="s">
        <v>478</v>
      </c>
      <c r="B10" s="15">
        <v>0.29499999999999998</v>
      </c>
      <c r="C10" s="15">
        <v>0.29499999999999998</v>
      </c>
      <c r="D10" s="15">
        <v>0.29499999999999998</v>
      </c>
      <c r="E10" s="15">
        <v>0.29499999999999998</v>
      </c>
      <c r="F10" s="15">
        <v>0.29499999999999998</v>
      </c>
      <c r="G10" s="15">
        <v>0.29499999999999998</v>
      </c>
    </row>
    <row r="11" spans="1:7" ht="15" customHeight="1" x14ac:dyDescent="0.2">
      <c r="A11" s="15" t="s">
        <v>770</v>
      </c>
      <c r="B11" s="15">
        <f t="shared" ref="B11:G11" si="3">B8*(1-B10)</f>
        <v>26467.815000000002</v>
      </c>
      <c r="C11" s="15">
        <f t="shared" si="3"/>
        <v>27061.312229695832</v>
      </c>
      <c r="D11" s="15">
        <f t="shared" si="3"/>
        <v>27864.724939368531</v>
      </c>
      <c r="E11" s="15">
        <f t="shared" si="3"/>
        <v>28765.101371666853</v>
      </c>
      <c r="F11" s="15">
        <f t="shared" si="3"/>
        <v>29676.316643833015</v>
      </c>
      <c r="G11" s="15">
        <f t="shared" si="3"/>
        <v>30591.331757233671</v>
      </c>
    </row>
    <row r="12" spans="1:7" ht="15" customHeight="1" x14ac:dyDescent="0.2">
      <c r="A12" s="15" t="s">
        <v>409</v>
      </c>
      <c r="B12" s="15">
        <v>0</v>
      </c>
      <c r="C12" s="20">
        <f>'Operating Drivers'!B36</f>
        <v>0.45</v>
      </c>
      <c r="D12" s="20">
        <f>'Operating Drivers'!C36</f>
        <v>0.44</v>
      </c>
      <c r="E12" s="20">
        <f>'Operating Drivers'!D36</f>
        <v>0.43</v>
      </c>
      <c r="F12" s="20">
        <f>'Operating Drivers'!E36</f>
        <v>0.42</v>
      </c>
      <c r="G12" s="20">
        <f>'Operating Drivers'!F36</f>
        <v>0.4</v>
      </c>
    </row>
    <row r="13" spans="1:7" ht="15" customHeight="1" x14ac:dyDescent="0.2">
      <c r="A13" s="15" t="s">
        <v>410</v>
      </c>
      <c r="B13" s="15">
        <v>0</v>
      </c>
      <c r="C13" s="20">
        <f>'Operating Drivers'!B37</f>
        <v>5.46222471001645E-2</v>
      </c>
      <c r="D13" s="20">
        <f>'Operating Drivers'!C37</f>
        <v>5.9037192070059523E-2</v>
      </c>
      <c r="E13" s="20">
        <f>'Operating Drivers'!D37</f>
        <v>6.3546567694468814E-2</v>
      </c>
      <c r="F13" s="20">
        <f>'Operating Drivers'!E37</f>
        <v>6.826075617842188E-2</v>
      </c>
      <c r="G13" s="20">
        <f>'Operating Drivers'!F37</f>
        <v>7.5000000000000067E-2</v>
      </c>
    </row>
    <row r="14" spans="1:7" ht="15" customHeight="1" x14ac:dyDescent="0.2">
      <c r="A14" s="15" t="s">
        <v>724</v>
      </c>
      <c r="B14" s="15">
        <v>0</v>
      </c>
      <c r="C14" s="15">
        <f>C11*C13</f>
        <v>1478.1496834651493</v>
      </c>
      <c r="D14" s="15">
        <f>D11*D13</f>
        <v>1645.0551182248776</v>
      </c>
      <c r="E14" s="15">
        <f>E11*E13</f>
        <v>1827.9234615528853</v>
      </c>
      <c r="F14" s="15">
        <f>F11*F13</f>
        <v>2025.7278146983285</v>
      </c>
      <c r="G14" s="15">
        <f>G11*G13</f>
        <v>2294.3498817925274</v>
      </c>
    </row>
    <row r="15" spans="1:7" ht="15" customHeight="1" x14ac:dyDescent="0.2">
      <c r="A15" s="15" t="s">
        <v>771</v>
      </c>
      <c r="B15" s="15">
        <f t="shared" ref="B15:G15" si="4">B11-B14</f>
        <v>26467.815000000002</v>
      </c>
      <c r="C15" s="15">
        <f t="shared" si="4"/>
        <v>25583.162546230684</v>
      </c>
      <c r="D15" s="15">
        <f t="shared" si="4"/>
        <v>26219.669821143652</v>
      </c>
      <c r="E15" s="15">
        <f t="shared" si="4"/>
        <v>26937.177910113969</v>
      </c>
      <c r="F15" s="15">
        <f t="shared" si="4"/>
        <v>27650.588829134686</v>
      </c>
      <c r="G15" s="15">
        <f t="shared" si="4"/>
        <v>28296.981875441143</v>
      </c>
    </row>
    <row r="16" spans="1:7" ht="15" customHeight="1" x14ac:dyDescent="0.2">
      <c r="A16" s="15" t="s">
        <v>772</v>
      </c>
      <c r="B16" s="15"/>
      <c r="C16" s="20">
        <f>'Operating Drivers'!B34</f>
        <v>2.4580011195074025E-2</v>
      </c>
      <c r="D16" s="20">
        <f>'Operating Drivers'!C34</f>
        <v>2.5976364510826189E-2</v>
      </c>
      <c r="E16" s="20">
        <f>'Operating Drivers'!D34</f>
        <v>2.7325024108621587E-2</v>
      </c>
      <c r="F16" s="20">
        <f>'Operating Drivers'!E34</f>
        <v>2.8669517594937188E-2</v>
      </c>
      <c r="G16" s="20">
        <f>'Operating Drivers'!F34</f>
        <v>3.0000000000000027E-2</v>
      </c>
    </row>
    <row r="17" spans="1:7" ht="15" customHeight="1" x14ac:dyDescent="0.2">
      <c r="A17" s="15" t="s">
        <v>388</v>
      </c>
      <c r="B17" s="15" t="s">
        <v>773</v>
      </c>
      <c r="C17" s="15">
        <f>C4-C15</f>
        <v>-25583.137966219489</v>
      </c>
      <c r="D17" s="15">
        <f>D4-D15</f>
        <v>-26219.643844779141</v>
      </c>
      <c r="E17" s="15">
        <f>E4-E15</f>
        <v>-26937.150585089861</v>
      </c>
      <c r="F17" s="15">
        <f>F4-F15</f>
        <v>-27650.560159617089</v>
      </c>
      <c r="G17" s="15">
        <f>G4-G15</f>
        <v>-28296.951875441144</v>
      </c>
    </row>
    <row r="18" spans="1:7" ht="15" customHeight="1" x14ac:dyDescent="0.2">
      <c r="A18" s="15" t="s">
        <v>774</v>
      </c>
      <c r="B18" s="15"/>
      <c r="C18" s="26">
        <f>C7-C16</f>
        <v>5022.466634867058</v>
      </c>
      <c r="D18" s="26">
        <f>D7-D16</f>
        <v>5152.9313010638425</v>
      </c>
      <c r="E18" s="26">
        <f>E7-E16</f>
        <v>5293.7346342406709</v>
      </c>
      <c r="F18" s="26">
        <f>F7-F16</f>
        <v>5445.5028913817359</v>
      </c>
      <c r="G18" s="26">
        <f>G7-G16</f>
        <v>5608.8675077263106</v>
      </c>
    </row>
  </sheetData>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BF8F00"/>
  </sheetPr>
  <dimension ref="A1:G24"/>
  <sheetViews>
    <sheetView zoomScaleNormal="100" workbookViewId="0">
      <pane xSplit="1" ySplit="2" topLeftCell="E3" activePane="bottomRight" state="frozen"/>
      <selection pane="topRight" activeCell="E1" sqref="E1"/>
      <selection pane="bottomLeft" activeCell="A3" sqref="A3"/>
      <selection pane="bottomRight" activeCell="C22" sqref="C22"/>
    </sheetView>
  </sheetViews>
  <sheetFormatPr baseColWidth="10" defaultColWidth="8.6640625" defaultRowHeight="15" x14ac:dyDescent="0.2"/>
  <cols>
    <col min="1" max="1" width="42" customWidth="1"/>
    <col min="2" max="7" width="22" customWidth="1"/>
  </cols>
  <sheetData>
    <row r="1" spans="1:7" ht="17.25" customHeight="1" x14ac:dyDescent="0.2">
      <c r="A1" s="13" t="s">
        <v>775</v>
      </c>
      <c r="B1" s="13"/>
      <c r="C1" s="13"/>
      <c r="D1" s="13"/>
      <c r="E1" s="13"/>
      <c r="F1" s="13"/>
      <c r="G1" s="13"/>
    </row>
    <row r="2" spans="1:7" ht="15" customHeight="1" x14ac:dyDescent="0.2">
      <c r="A2" s="14" t="s">
        <v>776</v>
      </c>
      <c r="B2" s="14" t="s">
        <v>503</v>
      </c>
      <c r="C2" s="14" t="s">
        <v>128</v>
      </c>
      <c r="D2" s="14" t="s">
        <v>129</v>
      </c>
      <c r="E2" s="14" t="s">
        <v>130</v>
      </c>
      <c r="F2" s="14" t="s">
        <v>131</v>
      </c>
      <c r="G2" s="14" t="s">
        <v>132</v>
      </c>
    </row>
    <row r="3" spans="1:7" ht="15" customHeight="1" x14ac:dyDescent="0.2">
      <c r="A3" s="15" t="s">
        <v>777</v>
      </c>
      <c r="B3" s="15"/>
      <c r="C3" s="15">
        <f>'Integrated Operating Model'!C15</f>
        <v>25583.162546230684</v>
      </c>
      <c r="D3" s="15">
        <f>'Integrated Operating Model'!D15</f>
        <v>26219.669821143652</v>
      </c>
      <c r="E3" s="15">
        <f>'Integrated Operating Model'!E15</f>
        <v>26937.177910113969</v>
      </c>
      <c r="F3" s="15">
        <f>'Integrated Operating Model'!F15</f>
        <v>27650.588829134686</v>
      </c>
      <c r="G3" s="15">
        <f>'Integrated Operating Model'!G15</f>
        <v>28296.981875441143</v>
      </c>
    </row>
    <row r="4" spans="1:7" ht="15" customHeight="1" x14ac:dyDescent="0.2">
      <c r="A4" s="15" t="s">
        <v>778</v>
      </c>
      <c r="B4" s="15">
        <v>0</v>
      </c>
      <c r="C4" s="15">
        <v>0.5</v>
      </c>
      <c r="D4" s="15">
        <v>1.5</v>
      </c>
      <c r="E4" s="15">
        <v>2.5</v>
      </c>
      <c r="F4" s="15">
        <v>3.5</v>
      </c>
      <c r="G4" s="15">
        <v>4.5</v>
      </c>
    </row>
    <row r="5" spans="1:7" ht="15" customHeight="1" x14ac:dyDescent="0.2">
      <c r="A5" s="15" t="s">
        <v>52</v>
      </c>
      <c r="B5" s="26">
        <f>WACC!L45</f>
        <v>0.11593086162505005</v>
      </c>
      <c r="C5" s="26">
        <f>WACC!L45</f>
        <v>0.11593086162505005</v>
      </c>
      <c r="D5" s="26">
        <f>WACC!L45</f>
        <v>0.11593086162505005</v>
      </c>
      <c r="E5" s="26">
        <f>WACC!L45</f>
        <v>0.11593086162505005</v>
      </c>
      <c r="F5" s="26">
        <f>WACC!L45</f>
        <v>0.11593086162505005</v>
      </c>
      <c r="G5" s="26">
        <f>WACC!L45</f>
        <v>0.11593086162505005</v>
      </c>
    </row>
    <row r="6" spans="1:7" ht="15" customHeight="1" x14ac:dyDescent="0.2">
      <c r="A6" s="15" t="s">
        <v>441</v>
      </c>
      <c r="B6" s="15">
        <f t="shared" ref="B6:G6" si="0">1/(1+B5)^B4</f>
        <v>1</v>
      </c>
      <c r="C6" s="15">
        <f t="shared" si="0"/>
        <v>0.94663238039302655</v>
      </c>
      <c r="D6" s="15">
        <f t="shared" si="0"/>
        <v>0.84828945317859006</v>
      </c>
      <c r="E6" s="15">
        <f t="shared" si="0"/>
        <v>0.76016309105681246</v>
      </c>
      <c r="F6" s="15">
        <f t="shared" si="0"/>
        <v>0.68119192433646059</v>
      </c>
      <c r="G6" s="15">
        <f t="shared" si="0"/>
        <v>0.61042484598417646</v>
      </c>
    </row>
    <row r="7" spans="1:7" ht="15" customHeight="1" x14ac:dyDescent="0.2">
      <c r="A7" s="15" t="s">
        <v>735</v>
      </c>
      <c r="B7" s="15"/>
      <c r="C7" s="15">
        <f>C3*C6</f>
        <v>24217.850059120075</v>
      </c>
      <c r="D7" s="15">
        <f>D3*D6</f>
        <v>22241.869375101131</v>
      </c>
      <c r="E7" s="15">
        <f>E3*E6</f>
        <v>20476.648424499523</v>
      </c>
      <c r="F7" s="15">
        <f>F3*F6</f>
        <v>18835.357813554496</v>
      </c>
      <c r="G7" s="15">
        <f>G3*G6</f>
        <v>17273.180803133193</v>
      </c>
    </row>
    <row r="8" spans="1:7" ht="15" customHeight="1" x14ac:dyDescent="0.2">
      <c r="A8" s="15" t="s">
        <v>55</v>
      </c>
      <c r="B8" s="20">
        <f>'Operating Drivers'!$B$44</f>
        <v>0.03</v>
      </c>
      <c r="C8" s="20">
        <f>'Operating Drivers'!$B$44</f>
        <v>0.03</v>
      </c>
      <c r="D8" s="20">
        <f>'Operating Drivers'!$B$44</f>
        <v>0.03</v>
      </c>
      <c r="E8" s="20">
        <f>'Operating Drivers'!$B$44</f>
        <v>0.03</v>
      </c>
      <c r="F8" s="20">
        <f>'Operating Drivers'!$B$44</f>
        <v>0.03</v>
      </c>
      <c r="G8" s="20">
        <f>'Operating Drivers'!$B$44</f>
        <v>0.03</v>
      </c>
    </row>
    <row r="9" spans="1:7" ht="15" customHeight="1" x14ac:dyDescent="0.2">
      <c r="A9" s="15" t="s">
        <v>56</v>
      </c>
      <c r="B9" s="20">
        <f>'Operating Drivers'!$B$45</f>
        <v>0.4</v>
      </c>
      <c r="C9" s="20">
        <f>'Operating Drivers'!$B$45</f>
        <v>0.4</v>
      </c>
      <c r="D9" s="20">
        <f>'Operating Drivers'!$B$45</f>
        <v>0.4</v>
      </c>
      <c r="E9" s="20">
        <f>'Operating Drivers'!$B$45</f>
        <v>0.4</v>
      </c>
      <c r="F9" s="20">
        <f>'Operating Drivers'!$B$45</f>
        <v>0.4</v>
      </c>
      <c r="G9" s="20">
        <f>'Operating Drivers'!$B$45</f>
        <v>0.4</v>
      </c>
    </row>
    <row r="10" spans="1:7" ht="15" customHeight="1" x14ac:dyDescent="0.2">
      <c r="A10" s="15" t="s">
        <v>57</v>
      </c>
      <c r="B10" s="15">
        <f t="shared" ref="B10:G10" si="1">B8/B9</f>
        <v>7.4999999999999997E-2</v>
      </c>
      <c r="C10" s="15">
        <f t="shared" si="1"/>
        <v>7.4999999999999997E-2</v>
      </c>
      <c r="D10" s="15">
        <f t="shared" si="1"/>
        <v>7.4999999999999997E-2</v>
      </c>
      <c r="E10" s="15">
        <f t="shared" si="1"/>
        <v>7.4999999999999997E-2</v>
      </c>
      <c r="F10" s="15">
        <f t="shared" si="1"/>
        <v>7.4999999999999997E-2</v>
      </c>
      <c r="G10" s="15">
        <f t="shared" si="1"/>
        <v>7.4999999999999997E-2</v>
      </c>
    </row>
    <row r="11" spans="1:7" ht="15" customHeight="1" x14ac:dyDescent="0.2">
      <c r="A11" s="15" t="s">
        <v>779</v>
      </c>
      <c r="B11" s="15"/>
      <c r="C11" s="15"/>
      <c r="D11" s="15"/>
      <c r="E11" s="15"/>
      <c r="F11" s="15"/>
      <c r="G11" s="15">
        <f>'Integrated Operating Model'!G11</f>
        <v>30591.331757233671</v>
      </c>
    </row>
    <row r="12" spans="1:7" ht="15" customHeight="1" x14ac:dyDescent="0.2">
      <c r="A12" s="15" t="s">
        <v>493</v>
      </c>
      <c r="B12" s="15"/>
      <c r="C12" s="15"/>
      <c r="D12" s="15"/>
      <c r="E12" s="15"/>
      <c r="F12" s="15"/>
      <c r="G12" s="15">
        <f>G11*(1-G10)*(1+G8)</f>
        <v>29145.891331704381</v>
      </c>
    </row>
    <row r="13" spans="1:7" ht="15" customHeight="1" x14ac:dyDescent="0.2">
      <c r="A13" s="15" t="s">
        <v>120</v>
      </c>
      <c r="B13" s="15"/>
      <c r="C13" s="15"/>
      <c r="D13" s="15"/>
      <c r="E13" s="15"/>
      <c r="F13" s="15"/>
      <c r="G13" s="15">
        <f>G12/(G5-G8)</f>
        <v>339178.39040040469</v>
      </c>
    </row>
    <row r="14" spans="1:7" ht="15" customHeight="1" x14ac:dyDescent="0.2">
      <c r="A14" s="15" t="s">
        <v>743</v>
      </c>
      <c r="B14" s="15"/>
      <c r="C14" s="15"/>
      <c r="D14" s="15"/>
      <c r="E14" s="15"/>
      <c r="F14" s="15"/>
      <c r="G14" s="15">
        <f>G13*G6</f>
        <v>207042.9167213279</v>
      </c>
    </row>
    <row r="15" spans="1:7" ht="15" customHeight="1" x14ac:dyDescent="0.2">
      <c r="A15" s="15" t="s">
        <v>121</v>
      </c>
      <c r="B15" s="15"/>
      <c r="C15" s="15"/>
      <c r="D15" s="15"/>
      <c r="E15" s="15"/>
      <c r="F15" s="15"/>
      <c r="G15" s="15">
        <f>SUM(C7:G7)+G14</f>
        <v>310087.82319673628</v>
      </c>
    </row>
    <row r="16" spans="1:7" ht="15" customHeight="1" x14ac:dyDescent="0.2">
      <c r="A16" s="15"/>
      <c r="B16" s="15"/>
      <c r="C16" s="15"/>
      <c r="D16" s="15"/>
      <c r="E16" s="15"/>
      <c r="F16" s="15"/>
      <c r="G16" s="15"/>
    </row>
    <row r="17" spans="1:7" ht="15" customHeight="1" x14ac:dyDescent="0.2">
      <c r="A17" s="15"/>
      <c r="B17" s="15"/>
      <c r="C17" s="15"/>
      <c r="D17" s="15"/>
      <c r="E17" s="15"/>
      <c r="F17" s="15"/>
      <c r="G17" s="15"/>
    </row>
    <row r="18" spans="1:7" ht="15" customHeight="1" x14ac:dyDescent="0.2">
      <c r="A18" s="15" t="s">
        <v>780</v>
      </c>
      <c r="B18" s="15"/>
      <c r="C18" s="15"/>
      <c r="D18" s="15"/>
      <c r="E18" s="15"/>
      <c r="F18" s="15"/>
      <c r="G18" s="27">
        <f>'DCF&gt;'!D43</f>
        <v>-13025</v>
      </c>
    </row>
    <row r="19" spans="1:7" ht="15" customHeight="1" x14ac:dyDescent="0.2">
      <c r="A19" s="15" t="s">
        <v>122</v>
      </c>
      <c r="C19" s="15"/>
      <c r="D19" s="15"/>
      <c r="E19" s="15"/>
      <c r="F19" s="15"/>
      <c r="G19" s="15">
        <f>G15-G18</f>
        <v>323112.82319673628</v>
      </c>
    </row>
    <row r="20" spans="1:7" ht="15" customHeight="1" x14ac:dyDescent="0.2">
      <c r="A20" s="15" t="s">
        <v>781</v>
      </c>
      <c r="B20" s="15"/>
      <c r="C20" s="15"/>
      <c r="D20" s="15"/>
      <c r="E20" s="15"/>
      <c r="F20" s="15"/>
      <c r="G20" s="27">
        <f>'DCF&gt;'!D46</f>
        <v>405.81</v>
      </c>
    </row>
    <row r="21" spans="1:7" ht="15" customHeight="1" x14ac:dyDescent="0.2">
      <c r="A21" s="15" t="s">
        <v>123</v>
      </c>
      <c r="B21" s="15"/>
      <c r="C21" s="15"/>
      <c r="D21" s="15"/>
      <c r="E21" s="15"/>
      <c r="F21" s="15"/>
      <c r="G21" s="15">
        <f>G19/G20</f>
        <v>796.21700597998142</v>
      </c>
    </row>
    <row r="22" spans="1:7" ht="15" customHeight="1" x14ac:dyDescent="0.2">
      <c r="A22" s="15" t="s">
        <v>782</v>
      </c>
      <c r="B22" s="15"/>
      <c r="C22" s="15"/>
      <c r="D22" s="15"/>
      <c r="E22" s="15"/>
      <c r="F22" s="15"/>
      <c r="G22" s="15">
        <f>G14/G15</f>
        <v>0.66769121917428154</v>
      </c>
    </row>
    <row r="23" spans="1:7" ht="15" customHeight="1" x14ac:dyDescent="0.2">
      <c r="A23" s="15" t="s">
        <v>72</v>
      </c>
      <c r="B23" s="15"/>
      <c r="C23" s="15"/>
      <c r="D23" s="15"/>
      <c r="E23" s="15"/>
      <c r="F23" s="15"/>
      <c r="G23" s="27">
        <f>'DCF&gt;'!D50</f>
        <v>1121</v>
      </c>
    </row>
    <row r="24" spans="1:7" ht="15" customHeight="1" x14ac:dyDescent="0.2">
      <c r="A24" s="15" t="s">
        <v>783</v>
      </c>
      <c r="B24" s="15"/>
      <c r="C24" s="15"/>
      <c r="D24" s="15"/>
      <c r="E24" s="15"/>
      <c r="F24" s="15"/>
      <c r="G24" s="15">
        <f>G21/G23-1</f>
        <v>-0.28972613204283548</v>
      </c>
    </row>
  </sheetData>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BF8F00"/>
  </sheetPr>
  <dimension ref="A1:R39"/>
  <sheetViews>
    <sheetView showGridLines="0" topLeftCell="G13" zoomScale="90" zoomScaleNormal="90" workbookViewId="0">
      <selection activeCell="C43" sqref="C43"/>
    </sheetView>
  </sheetViews>
  <sheetFormatPr baseColWidth="10" defaultColWidth="10.6640625" defaultRowHeight="15" x14ac:dyDescent="0.2"/>
  <cols>
    <col min="1" max="1" width="2.33203125" customWidth="1"/>
    <col min="2" max="2" width="20.33203125" customWidth="1"/>
    <col min="3" max="3" width="11" customWidth="1"/>
    <col min="4" max="4" width="11.5" customWidth="1"/>
    <col min="5" max="5" width="13.1640625" customWidth="1"/>
    <col min="6" max="6" width="9.83203125" customWidth="1"/>
    <col min="10" max="10" width="2.33203125" customWidth="1"/>
    <col min="14" max="14" width="2.33203125" customWidth="1"/>
  </cols>
  <sheetData>
    <row r="1" spans="1:18" ht="27.75" customHeight="1" x14ac:dyDescent="0.2">
      <c r="A1" s="284" t="str">
        <f>'Data Sheet'!B1&amp;" - Comparable Company Analysis"</f>
        <v>INFOSYS LTD - Comparable Company Analysis</v>
      </c>
      <c r="B1" s="284"/>
      <c r="C1" s="284"/>
      <c r="D1" s="284"/>
      <c r="E1" s="284"/>
      <c r="F1" s="284"/>
      <c r="G1" s="284"/>
      <c r="H1" s="284"/>
      <c r="I1" s="15"/>
      <c r="J1" s="15"/>
      <c r="K1" s="15"/>
      <c r="L1" s="15"/>
      <c r="M1" s="15"/>
      <c r="N1" s="15"/>
      <c r="O1" s="15"/>
      <c r="P1" s="15"/>
      <c r="Q1" s="15"/>
      <c r="R1" s="15"/>
    </row>
    <row r="2" spans="1:18" ht="15" customHeight="1" x14ac:dyDescent="0.2">
      <c r="A2" s="15"/>
      <c r="B2" s="15"/>
      <c r="C2" s="15"/>
      <c r="D2" s="15"/>
      <c r="E2" s="15"/>
      <c r="F2" s="15"/>
      <c r="G2" s="15"/>
      <c r="H2" s="15"/>
      <c r="I2" s="15"/>
      <c r="J2" s="15"/>
      <c r="K2" s="15"/>
      <c r="L2" s="15"/>
      <c r="M2" s="15"/>
      <c r="N2" s="15"/>
      <c r="O2" s="15"/>
      <c r="P2" s="15"/>
      <c r="Q2" s="15"/>
      <c r="R2" s="15"/>
    </row>
    <row r="3" spans="1:18" ht="15" customHeight="1" x14ac:dyDescent="0.2">
      <c r="A3" s="15"/>
      <c r="B3" s="15"/>
      <c r="C3" s="15"/>
      <c r="D3" s="15"/>
      <c r="E3" s="15"/>
      <c r="F3" s="15"/>
      <c r="G3" s="15"/>
      <c r="H3" s="15"/>
      <c r="I3" s="15"/>
      <c r="J3" s="15"/>
      <c r="K3" s="15"/>
      <c r="L3" s="15"/>
      <c r="M3" s="15"/>
      <c r="N3" s="15"/>
      <c r="O3" s="15"/>
      <c r="P3" s="15"/>
      <c r="Q3" s="15"/>
      <c r="R3" s="15"/>
    </row>
    <row r="4" spans="1:18" ht="15" customHeight="1" x14ac:dyDescent="0.2">
      <c r="A4" s="15"/>
      <c r="B4" s="15"/>
      <c r="C4" s="15"/>
      <c r="D4" s="15"/>
      <c r="E4" s="15"/>
      <c r="F4" s="15"/>
      <c r="G4" s="15"/>
      <c r="H4" s="15"/>
      <c r="I4" s="15"/>
      <c r="J4" s="15"/>
      <c r="K4" s="15"/>
      <c r="L4" s="15"/>
      <c r="M4" s="15"/>
      <c r="N4" s="15"/>
      <c r="O4" s="15"/>
      <c r="P4" s="15"/>
      <c r="Q4" s="15"/>
      <c r="R4" s="15"/>
    </row>
    <row r="5" spans="1:18" ht="15" customHeight="1" x14ac:dyDescent="0.2">
      <c r="A5" s="15"/>
      <c r="B5" s="236" t="s">
        <v>784</v>
      </c>
      <c r="C5" s="15"/>
      <c r="D5" s="15"/>
      <c r="E5" s="15"/>
      <c r="F5" s="15"/>
      <c r="G5" s="15"/>
      <c r="H5" s="15"/>
      <c r="I5" s="15"/>
      <c r="J5" s="15"/>
      <c r="K5" s="15"/>
      <c r="L5" s="15"/>
      <c r="M5" s="15"/>
      <c r="N5" s="15"/>
      <c r="O5" s="15"/>
      <c r="P5" s="15"/>
      <c r="Q5" s="15"/>
      <c r="R5" s="15"/>
    </row>
    <row r="6" spans="1:18" ht="15.75" customHeight="1" x14ac:dyDescent="0.2">
      <c r="A6" s="15"/>
      <c r="B6" s="237" t="s">
        <v>785</v>
      </c>
      <c r="C6" s="238"/>
      <c r="D6" s="238"/>
      <c r="E6" s="238"/>
      <c r="F6" s="238"/>
      <c r="G6" s="238"/>
      <c r="H6" s="238"/>
      <c r="I6" s="238"/>
      <c r="J6" s="238"/>
      <c r="K6" s="238"/>
      <c r="L6" s="15"/>
      <c r="M6" s="15"/>
      <c r="N6" s="15"/>
      <c r="O6" s="15"/>
      <c r="P6" s="15"/>
      <c r="Q6" s="15"/>
      <c r="R6" s="15"/>
    </row>
    <row r="7" spans="1:18" ht="6.75" customHeight="1" x14ac:dyDescent="0.2">
      <c r="A7" s="15"/>
      <c r="B7" s="15"/>
      <c r="C7" s="15"/>
      <c r="D7" s="15"/>
      <c r="E7" s="15"/>
      <c r="F7" s="15"/>
      <c r="G7" s="15"/>
      <c r="H7" s="15"/>
      <c r="I7" s="15"/>
      <c r="J7" s="15"/>
      <c r="K7" s="15"/>
      <c r="L7" s="15"/>
      <c r="M7" s="15"/>
      <c r="N7" s="15"/>
      <c r="O7" s="15"/>
      <c r="P7" s="15"/>
      <c r="Q7" s="15"/>
      <c r="R7" s="15"/>
    </row>
    <row r="8" spans="1:18" ht="15" customHeight="1" x14ac:dyDescent="0.2">
      <c r="A8" s="15"/>
      <c r="B8" s="239"/>
      <c r="C8" s="239"/>
      <c r="D8" s="285" t="s">
        <v>786</v>
      </c>
      <c r="E8" s="285"/>
      <c r="F8" s="285"/>
      <c r="G8" s="285"/>
      <c r="H8" s="285"/>
      <c r="I8" s="285"/>
      <c r="J8" s="239"/>
      <c r="K8" s="285" t="s">
        <v>787</v>
      </c>
      <c r="L8" s="285"/>
      <c r="M8" s="285"/>
      <c r="N8" s="240"/>
      <c r="O8" s="285" t="s">
        <v>85</v>
      </c>
      <c r="P8" s="285"/>
      <c r="Q8" s="285"/>
      <c r="R8" s="15"/>
    </row>
    <row r="9" spans="1:18" ht="31.5" customHeight="1" x14ac:dyDescent="0.2">
      <c r="A9" s="15"/>
      <c r="B9" s="241" t="s">
        <v>788</v>
      </c>
      <c r="C9" s="241" t="s">
        <v>789</v>
      </c>
      <c r="D9" s="241" t="s">
        <v>749</v>
      </c>
      <c r="E9" s="241" t="s">
        <v>790</v>
      </c>
      <c r="F9" s="241" t="s">
        <v>122</v>
      </c>
      <c r="G9" s="241" t="s">
        <v>791</v>
      </c>
      <c r="H9" s="241" t="s">
        <v>121</v>
      </c>
      <c r="I9" s="241"/>
      <c r="J9" s="239"/>
      <c r="K9" s="241" t="s">
        <v>325</v>
      </c>
      <c r="L9" s="241" t="s">
        <v>184</v>
      </c>
      <c r="M9" s="241" t="s">
        <v>792</v>
      </c>
      <c r="N9" s="239"/>
      <c r="O9" s="241" t="s">
        <v>793</v>
      </c>
      <c r="P9" s="241" t="s">
        <v>794</v>
      </c>
      <c r="Q9" s="241" t="s">
        <v>795</v>
      </c>
      <c r="R9" s="15"/>
    </row>
    <row r="10" spans="1:18" ht="3" customHeight="1" x14ac:dyDescent="0.2">
      <c r="A10" s="15"/>
      <c r="B10" s="242" t="str">
        <f>'Data&gt;'!C3</f>
        <v>Infosys</v>
      </c>
      <c r="C10" s="243"/>
      <c r="D10" s="243"/>
      <c r="E10" s="243"/>
      <c r="F10" s="243"/>
      <c r="G10" s="243"/>
      <c r="H10" s="243"/>
      <c r="I10" s="243"/>
      <c r="J10" s="243"/>
      <c r="K10" s="243"/>
      <c r="L10" s="243"/>
      <c r="M10" s="243"/>
      <c r="N10" s="243"/>
      <c r="O10" s="243"/>
      <c r="P10" s="243"/>
      <c r="Q10" s="243"/>
      <c r="R10" s="244"/>
    </row>
    <row r="11" spans="1:18" ht="15" customHeight="1" x14ac:dyDescent="0.2">
      <c r="A11" s="15"/>
      <c r="B11" s="242" t="str">
        <f>'Data&gt;'!C3</f>
        <v>Infosys</v>
      </c>
      <c r="C11" s="242"/>
      <c r="D11" s="245">
        <f>'Data Sheet'!$B$8</f>
        <v>1121</v>
      </c>
      <c r="E11" s="246">
        <f>'Data&gt;'!E3</f>
        <v>405.81</v>
      </c>
      <c r="F11" s="245">
        <f t="shared" ref="F11:F20" si="0">E11*D11</f>
        <v>454913.01</v>
      </c>
      <c r="G11" s="245">
        <f>'Data&gt;'!I3</f>
        <v>-13025</v>
      </c>
      <c r="H11" s="245">
        <f t="shared" ref="H11:H20" si="1">F11+G11</f>
        <v>441888.01</v>
      </c>
      <c r="I11" s="245"/>
      <c r="J11" s="245"/>
      <c r="K11" s="245">
        <f>'Data&gt;'!K3</f>
        <v>184582</v>
      </c>
      <c r="L11" s="245">
        <f>'Data&gt;'!O3</f>
        <v>48009</v>
      </c>
      <c r="M11" s="245">
        <f>'Data&gt;'!L3</f>
        <v>30325</v>
      </c>
      <c r="N11" s="247"/>
      <c r="O11" s="248">
        <f t="shared" ref="O11:O20" si="2">$H11/K11</f>
        <v>2.3939929678950276</v>
      </c>
      <c r="P11" s="248">
        <f>H$11/L11</f>
        <v>9.2042744068820426</v>
      </c>
      <c r="Q11" s="248">
        <f t="shared" ref="Q11:Q20" si="3">F11/M11</f>
        <v>15.001253421269579</v>
      </c>
      <c r="R11" s="244"/>
    </row>
    <row r="12" spans="1:18" ht="13.5" customHeight="1" x14ac:dyDescent="0.2">
      <c r="A12" s="15"/>
      <c r="B12" s="242" t="str">
        <f>'Data&gt;'!C4</f>
        <v>TCS</v>
      </c>
      <c r="C12" s="249"/>
      <c r="D12" s="250">
        <f>'Data&gt;'!D4</f>
        <v>2302</v>
      </c>
      <c r="E12" s="246">
        <f>'Data&gt;'!E4</f>
        <v>361.81</v>
      </c>
      <c r="F12" s="250">
        <f t="shared" si="0"/>
        <v>832886.62</v>
      </c>
      <c r="G12" s="245">
        <f>'Data&gt;'!I4</f>
        <v>-1625</v>
      </c>
      <c r="H12" s="250">
        <f t="shared" si="1"/>
        <v>831261.62</v>
      </c>
      <c r="I12" s="250"/>
      <c r="J12" s="250"/>
      <c r="K12" s="245">
        <f>'Data&gt;'!K4</f>
        <v>275859</v>
      </c>
      <c r="L12" s="245">
        <f>'Data&gt;'!O4</f>
        <v>78389</v>
      </c>
      <c r="M12" s="245">
        <f>'Data&gt;'!L4</f>
        <v>50055</v>
      </c>
      <c r="N12" s="249"/>
      <c r="O12" s="251">
        <f t="shared" si="2"/>
        <v>3.0133568960954689</v>
      </c>
      <c r="P12" s="251">
        <f t="shared" ref="P12:P20" si="4">H12/L12</f>
        <v>10.604314635982089</v>
      </c>
      <c r="Q12" s="251">
        <f t="shared" si="3"/>
        <v>16.639429028069124</v>
      </c>
      <c r="R12" s="15"/>
    </row>
    <row r="13" spans="1:18" ht="15" customHeight="1" x14ac:dyDescent="0.2">
      <c r="A13" s="15"/>
      <c r="B13" s="242" t="str">
        <f>'Data&gt;'!C5</f>
        <v>HCL Technologies</v>
      </c>
      <c r="C13" s="249"/>
      <c r="D13" s="250">
        <f>'Data&gt;'!D5</f>
        <v>1302.5</v>
      </c>
      <c r="E13" s="246">
        <f>'Data&gt;'!E5</f>
        <v>271.37</v>
      </c>
      <c r="F13" s="250">
        <f t="shared" si="0"/>
        <v>353459.42499999999</v>
      </c>
      <c r="G13" s="245">
        <f>'Data&gt;'!I5</f>
        <v>-18210</v>
      </c>
      <c r="H13" s="250">
        <f t="shared" si="1"/>
        <v>335249.42499999999</v>
      </c>
      <c r="I13" s="250"/>
      <c r="J13" s="250"/>
      <c r="K13" s="245">
        <f>'Data&gt;'!K5</f>
        <v>134374</v>
      </c>
      <c r="L13" s="245">
        <f>'Data&gt;'!O5</f>
        <v>29022</v>
      </c>
      <c r="M13" s="245">
        <f>'Data&gt;'!L5</f>
        <v>17434</v>
      </c>
      <c r="N13" s="249"/>
      <c r="O13" s="251">
        <f t="shared" si="2"/>
        <v>2.4948980085433194</v>
      </c>
      <c r="P13" s="251">
        <f t="shared" si="4"/>
        <v>11.551561746261456</v>
      </c>
      <c r="Q13" s="251">
        <f t="shared" si="3"/>
        <v>20.27414391419066</v>
      </c>
      <c r="R13" s="15"/>
    </row>
    <row r="14" spans="1:18" ht="15" customHeight="1" x14ac:dyDescent="0.2">
      <c r="A14" s="15"/>
      <c r="B14" s="242" t="str">
        <f>'Data&gt;'!C6</f>
        <v>Wipro</v>
      </c>
      <c r="C14" s="249"/>
      <c r="D14" s="250">
        <f>'Data&gt;'!D6</f>
        <v>180.79</v>
      </c>
      <c r="E14" s="246">
        <f>'Data&gt;'!E6</f>
        <v>990.45</v>
      </c>
      <c r="F14" s="250">
        <f t="shared" si="0"/>
        <v>179063.45550000001</v>
      </c>
      <c r="G14" s="245">
        <f>'Data&gt;'!I6</f>
        <v>9735.5</v>
      </c>
      <c r="H14" s="250">
        <f t="shared" si="1"/>
        <v>188798.95550000001</v>
      </c>
      <c r="I14" s="250"/>
      <c r="J14" s="250"/>
      <c r="K14" s="245">
        <f>'Data&gt;'!K6</f>
        <v>94968</v>
      </c>
      <c r="L14" s="245">
        <f>'Data&gt;'!O6</f>
        <v>22017.699999999997</v>
      </c>
      <c r="M14" s="245">
        <f>'Data&gt;'!L6</f>
        <v>13285.3</v>
      </c>
      <c r="N14" s="249"/>
      <c r="O14" s="251">
        <f t="shared" si="2"/>
        <v>1.9880270775419089</v>
      </c>
      <c r="P14" s="251">
        <f t="shared" si="4"/>
        <v>8.5748718303910056</v>
      </c>
      <c r="Q14" s="251">
        <f t="shared" si="3"/>
        <v>13.478314791536512</v>
      </c>
      <c r="R14" s="15"/>
    </row>
    <row r="15" spans="1:18" ht="15" customHeight="1" x14ac:dyDescent="0.2">
      <c r="A15" s="15"/>
      <c r="B15" s="242" t="str">
        <f>'Data&gt;'!C7</f>
        <v>Tech Mahindra</v>
      </c>
      <c r="C15" s="249"/>
      <c r="D15" s="250">
        <f>'Data&gt;'!D7</f>
        <v>1584</v>
      </c>
      <c r="E15" s="246">
        <f>'Data&gt;'!E7</f>
        <v>98.01</v>
      </c>
      <c r="F15" s="250">
        <f t="shared" si="0"/>
        <v>155247.84</v>
      </c>
      <c r="G15" s="245">
        <f>'Data&gt;'!I7</f>
        <v>-2919.2</v>
      </c>
      <c r="H15" s="250">
        <f t="shared" si="1"/>
        <v>152328.63999999998</v>
      </c>
      <c r="I15" s="250"/>
      <c r="J15" s="250"/>
      <c r="K15" s="245">
        <f>'Data&gt;'!K7</f>
        <v>59176.1</v>
      </c>
      <c r="L15" s="245">
        <f>'Data&gt;'!O7</f>
        <v>9542.2999999999993</v>
      </c>
      <c r="M15" s="245">
        <f>'Data&gt;'!L7</f>
        <v>5163</v>
      </c>
      <c r="N15" s="249"/>
      <c r="O15" s="251">
        <f t="shared" si="2"/>
        <v>2.5741581483064953</v>
      </c>
      <c r="P15" s="251">
        <f t="shared" si="4"/>
        <v>15.9635140374962</v>
      </c>
      <c r="Q15" s="251">
        <f t="shared" si="3"/>
        <v>30.069308541545613</v>
      </c>
      <c r="R15" s="15"/>
    </row>
    <row r="16" spans="1:18" ht="15" customHeight="1" x14ac:dyDescent="0.2">
      <c r="A16" s="15"/>
      <c r="B16" s="242" t="str">
        <f>'Data&gt;'!C8</f>
        <v>LTM</v>
      </c>
      <c r="C16" s="249"/>
      <c r="D16" s="250">
        <f>'Data&gt;'!D8</f>
        <v>4487.8</v>
      </c>
      <c r="E16" s="246">
        <f>'Data&gt;'!E8</f>
        <v>29.66</v>
      </c>
      <c r="F16" s="250">
        <f t="shared" si="0"/>
        <v>133108.14800000002</v>
      </c>
      <c r="G16" s="245">
        <f>'Data&gt;'!I8</f>
        <v>-502.40000000000009</v>
      </c>
      <c r="H16" s="250">
        <f t="shared" si="1"/>
        <v>132605.74800000002</v>
      </c>
      <c r="I16" s="250"/>
      <c r="J16" s="250"/>
      <c r="K16" s="245">
        <f>'Data&gt;'!K8</f>
        <v>44075</v>
      </c>
      <c r="L16" s="245">
        <f>'Data&gt;'!O8</f>
        <v>8924.1</v>
      </c>
      <c r="M16" s="245">
        <f>'Data&gt;'!L8</f>
        <v>5196.7</v>
      </c>
      <c r="N16" s="249"/>
      <c r="O16" s="251">
        <f t="shared" si="2"/>
        <v>3.0086386386840616</v>
      </c>
      <c r="P16" s="251">
        <f t="shared" si="4"/>
        <v>14.859285306081288</v>
      </c>
      <c r="Q16" s="251">
        <f t="shared" si="3"/>
        <v>25.61397579232975</v>
      </c>
      <c r="R16" s="15"/>
    </row>
    <row r="17" spans="1:18" ht="15" customHeight="1" x14ac:dyDescent="0.2">
      <c r="A17" s="15"/>
      <c r="B17" s="242" t="str">
        <f>'Data&gt;'!C9</f>
        <v>Persistent Systems</v>
      </c>
      <c r="C17" s="249"/>
      <c r="D17" s="250">
        <f>'Data&gt;'!D9</f>
        <v>5667.5</v>
      </c>
      <c r="E17" s="246">
        <f>'Data&gt;'!E9</f>
        <v>15.78</v>
      </c>
      <c r="F17" s="250">
        <f t="shared" si="0"/>
        <v>89433.15</v>
      </c>
      <c r="G17" s="245">
        <f>'Data&gt;'!I9</f>
        <v>-740.8</v>
      </c>
      <c r="H17" s="250">
        <f t="shared" si="1"/>
        <v>88692.349999999991</v>
      </c>
      <c r="I17" s="250"/>
      <c r="J17" s="250"/>
      <c r="K17" s="245">
        <f>'Data&gt;'!K9</f>
        <v>15718.1</v>
      </c>
      <c r="L17" s="245">
        <f>'Data&gt;'!O9</f>
        <v>3077.15</v>
      </c>
      <c r="M17" s="245">
        <f>'Data&gt;'!L9</f>
        <v>1923.22</v>
      </c>
      <c r="N17" s="249"/>
      <c r="O17" s="251">
        <f t="shared" si="2"/>
        <v>5.6426890018513678</v>
      </c>
      <c r="P17" s="251">
        <f t="shared" si="4"/>
        <v>28.822888062005422</v>
      </c>
      <c r="Q17" s="251">
        <f t="shared" si="3"/>
        <v>46.501778267696878</v>
      </c>
      <c r="R17" s="15"/>
    </row>
    <row r="18" spans="1:18" ht="15" customHeight="1" x14ac:dyDescent="0.2">
      <c r="A18" s="15"/>
      <c r="B18" s="242" t="str">
        <f>'Data&gt;'!C10</f>
        <v>Coforge</v>
      </c>
      <c r="C18" s="249"/>
      <c r="D18" s="250">
        <f>'Data&gt;'!D10</f>
        <v>1891.7</v>
      </c>
      <c r="E18" s="246">
        <f>'Data&gt;'!E10</f>
        <v>44.29</v>
      </c>
      <c r="F18" s="250">
        <f t="shared" si="0"/>
        <v>83783.392999999996</v>
      </c>
      <c r="G18" s="245">
        <f>'Data&gt;'!I10</f>
        <v>-371.40000000000009</v>
      </c>
      <c r="H18" s="250">
        <f t="shared" si="1"/>
        <v>83411.993000000002</v>
      </c>
      <c r="I18" s="250"/>
      <c r="J18" s="250"/>
      <c r="K18" s="245">
        <f>'Data&gt;'!K10</f>
        <v>18195.400000000001</v>
      </c>
      <c r="L18" s="245">
        <f>'Data&gt;'!O10</f>
        <v>3498.5</v>
      </c>
      <c r="M18" s="245">
        <f>'Data&gt;'!L10</f>
        <v>1920</v>
      </c>
      <c r="N18" s="249"/>
      <c r="O18" s="251">
        <f t="shared" si="2"/>
        <v>4.5842351913120893</v>
      </c>
      <c r="P18" s="251">
        <f t="shared" si="4"/>
        <v>23.842216092611121</v>
      </c>
      <c r="Q18" s="251">
        <f t="shared" si="3"/>
        <v>43.637183854166665</v>
      </c>
      <c r="R18" s="15"/>
    </row>
    <row r="19" spans="1:18" ht="15" customHeight="1" x14ac:dyDescent="0.2">
      <c r="A19" s="15"/>
      <c r="B19" s="242" t="str">
        <f>'Data&gt;'!C11</f>
        <v>Mphasis</v>
      </c>
      <c r="C19" s="249"/>
      <c r="D19" s="250">
        <f>'Data&gt;'!D11</f>
        <v>2430</v>
      </c>
      <c r="E19" s="246">
        <f>'Data&gt;'!E11</f>
        <v>19.09</v>
      </c>
      <c r="F19" s="250">
        <f t="shared" si="0"/>
        <v>46388.7</v>
      </c>
      <c r="G19" s="245">
        <f>'Data&gt;'!I11</f>
        <v>866.9699999999998</v>
      </c>
      <c r="H19" s="250">
        <f t="shared" si="1"/>
        <v>47255.67</v>
      </c>
      <c r="I19" s="250"/>
      <c r="J19" s="250"/>
      <c r="K19" s="245">
        <f>'Data&gt;'!K11</f>
        <v>16531.21</v>
      </c>
      <c r="L19" s="245">
        <f>'Data&gt;'!O11</f>
        <v>3398.6299999999997</v>
      </c>
      <c r="M19" s="245">
        <f>'Data&gt;'!L11</f>
        <v>1910.41</v>
      </c>
      <c r="N19" s="249"/>
      <c r="O19" s="251">
        <f t="shared" si="2"/>
        <v>2.8585729659232446</v>
      </c>
      <c r="P19" s="251">
        <f t="shared" si="4"/>
        <v>13.904329097312742</v>
      </c>
      <c r="Q19" s="251">
        <f t="shared" si="3"/>
        <v>24.282065106443117</v>
      </c>
      <c r="R19" s="15"/>
    </row>
    <row r="20" spans="1:18" ht="15" customHeight="1" x14ac:dyDescent="0.2">
      <c r="A20" s="15"/>
      <c r="B20" s="242" t="str">
        <f>'Data&gt;'!C12</f>
        <v>Hexaware Tech.</v>
      </c>
      <c r="C20" s="249"/>
      <c r="D20" s="250">
        <f>'Data&gt;'!D12</f>
        <v>532.45000000000005</v>
      </c>
      <c r="E20" s="246">
        <f>'Data&gt;'!E12</f>
        <v>61.1</v>
      </c>
      <c r="F20" s="250">
        <f t="shared" si="0"/>
        <v>32532.695000000003</v>
      </c>
      <c r="G20" s="245">
        <f>'Data&gt;'!I12</f>
        <v>-1299.5</v>
      </c>
      <c r="H20" s="250">
        <f t="shared" si="1"/>
        <v>31233.195000000003</v>
      </c>
      <c r="I20" s="250"/>
      <c r="J20" s="250"/>
      <c r="K20" s="245">
        <f>'Data&gt;'!K12</f>
        <v>14420</v>
      </c>
      <c r="L20" s="245">
        <f>'Data&gt;'!O12</f>
        <v>2350.8000000000002</v>
      </c>
      <c r="M20" s="245">
        <f>'Data&gt;'!L12</f>
        <v>1343.3</v>
      </c>
      <c r="N20" s="249"/>
      <c r="O20" s="251">
        <f t="shared" si="2"/>
        <v>2.1659635922330098</v>
      </c>
      <c r="P20" s="251">
        <f t="shared" si="4"/>
        <v>13.286198315467075</v>
      </c>
      <c r="Q20" s="251">
        <f t="shared" si="3"/>
        <v>24.218488051812702</v>
      </c>
      <c r="R20" s="15"/>
    </row>
    <row r="21" spans="1:18" ht="41.25" customHeight="1" x14ac:dyDescent="0.2">
      <c r="A21" s="15"/>
      <c r="B21" s="15" t="s">
        <v>796</v>
      </c>
      <c r="C21" s="15"/>
      <c r="D21" s="15"/>
      <c r="E21" s="15"/>
      <c r="F21" s="15"/>
      <c r="G21" s="15"/>
      <c r="H21" s="15"/>
      <c r="I21" s="15"/>
      <c r="J21" s="15"/>
      <c r="K21" s="15"/>
      <c r="L21" s="15"/>
      <c r="M21" s="15"/>
      <c r="N21" s="15"/>
      <c r="O21" s="15">
        <f>MEDIAN(O17:O20)</f>
        <v>3.7214040786176668</v>
      </c>
      <c r="P21" s="15">
        <f>MEDIAN(P17:P20)</f>
        <v>18.873272594961932</v>
      </c>
      <c r="Q21" s="15">
        <f>MEDIAN(Q17:Q20)</f>
        <v>33.959624480304889</v>
      </c>
      <c r="R21" s="15"/>
    </row>
    <row r="22" spans="1:18" ht="15" customHeight="1" x14ac:dyDescent="0.2">
      <c r="A22" s="15"/>
      <c r="B22" s="252" t="s">
        <v>797</v>
      </c>
      <c r="C22" s="252"/>
      <c r="D22" s="252"/>
      <c r="E22" s="252"/>
      <c r="F22" s="252"/>
      <c r="G22" s="252"/>
      <c r="H22" s="252"/>
      <c r="I22" s="252"/>
      <c r="J22" s="252"/>
      <c r="K22" s="252"/>
      <c r="L22" s="252"/>
      <c r="M22" s="252"/>
      <c r="N22" s="252"/>
      <c r="O22" s="253">
        <f>MAX(O12:O20)</f>
        <v>5.6426890018513678</v>
      </c>
      <c r="P22" s="253">
        <f>MAX(P12:P20)</f>
        <v>28.822888062005422</v>
      </c>
      <c r="Q22" s="253">
        <f>MAX(Q12:Q20)</f>
        <v>46.501778267696878</v>
      </c>
      <c r="R22" s="15"/>
    </row>
    <row r="23" spans="1:18" ht="15" customHeight="1" x14ac:dyDescent="0.2">
      <c r="A23" s="15"/>
      <c r="B23" s="254" t="s">
        <v>798</v>
      </c>
      <c r="C23" s="254"/>
      <c r="D23" s="254"/>
      <c r="E23" s="254"/>
      <c r="F23" s="254"/>
      <c r="G23" s="254"/>
      <c r="H23" s="254"/>
      <c r="I23" s="254"/>
      <c r="J23" s="254"/>
      <c r="K23" s="254"/>
      <c r="L23" s="254"/>
      <c r="M23" s="254"/>
      <c r="N23" s="254"/>
      <c r="O23" s="255">
        <f>QUARTILE(O12:O20,3)</f>
        <v>3.0133568960954689</v>
      </c>
      <c r="P23" s="255">
        <f>QUARTILE(P12:P20,3)</f>
        <v>15.9635140374962</v>
      </c>
      <c r="Q23" s="255">
        <f>QUARTILE(Q12:Q20,3)</f>
        <v>30.069308541545613</v>
      </c>
      <c r="R23" s="15"/>
    </row>
    <row r="24" spans="1:18" ht="15" customHeight="1" x14ac:dyDescent="0.2">
      <c r="A24" s="15"/>
      <c r="B24" s="256" t="s">
        <v>594</v>
      </c>
      <c r="C24" s="254"/>
      <c r="D24" s="254"/>
      <c r="E24" s="254"/>
      <c r="F24" s="254"/>
      <c r="G24" s="254"/>
      <c r="H24" s="254"/>
      <c r="I24" s="254"/>
      <c r="J24" s="254"/>
      <c r="K24" s="254"/>
      <c r="L24" s="254"/>
      <c r="M24" s="254"/>
      <c r="N24" s="254"/>
      <c r="O24" s="257">
        <f>AVERAGE(O12:O20)</f>
        <v>3.1478377244989959</v>
      </c>
      <c r="P24" s="257">
        <f>AVERAGE(P12:P20)</f>
        <v>15.712131013734266</v>
      </c>
      <c r="Q24" s="257">
        <f>AVERAGE(Q12:Q20)</f>
        <v>27.190520816421227</v>
      </c>
      <c r="R24" s="15"/>
    </row>
    <row r="25" spans="1:18" ht="15" customHeight="1" x14ac:dyDescent="0.2">
      <c r="A25" s="15"/>
      <c r="B25" s="256" t="s">
        <v>287</v>
      </c>
      <c r="C25" s="254"/>
      <c r="D25" s="254"/>
      <c r="E25" s="254"/>
      <c r="F25" s="254"/>
      <c r="G25" s="254"/>
      <c r="H25" s="254"/>
      <c r="I25" s="254"/>
      <c r="J25" s="254"/>
      <c r="K25" s="254"/>
      <c r="L25" s="254"/>
      <c r="M25" s="254"/>
      <c r="N25" s="254"/>
      <c r="O25" s="257">
        <f>MEDIAN(O12:O20)</f>
        <v>2.8585729659232446</v>
      </c>
      <c r="P25" s="257">
        <f>MEDIAN(P12:P20)</f>
        <v>13.904329097312742</v>
      </c>
      <c r="Q25" s="257">
        <f>MEDIAN(Q12:Q20)</f>
        <v>24.282065106443117</v>
      </c>
      <c r="R25" s="15"/>
    </row>
    <row r="26" spans="1:18" ht="15" customHeight="1" x14ac:dyDescent="0.2">
      <c r="A26" s="15"/>
      <c r="B26" s="254" t="s">
        <v>799</v>
      </c>
      <c r="C26" s="254"/>
      <c r="D26" s="254"/>
      <c r="E26" s="254"/>
      <c r="F26" s="254"/>
      <c r="G26" s="254"/>
      <c r="H26" s="254"/>
      <c r="I26" s="254"/>
      <c r="J26" s="254"/>
      <c r="K26" s="254"/>
      <c r="L26" s="254"/>
      <c r="M26" s="254"/>
      <c r="N26" s="254"/>
      <c r="O26" s="255">
        <f>QUARTILE(O12:O20,1)</f>
        <v>2.4948980085433194</v>
      </c>
      <c r="P26" s="255">
        <f>QUARTILE(P12:P20,1)</f>
        <v>11.551561746261456</v>
      </c>
      <c r="Q26" s="255">
        <f>QUARTILE(Q12:Q20,1)</f>
        <v>20.27414391419066</v>
      </c>
      <c r="R26" s="15"/>
    </row>
    <row r="27" spans="1:18" ht="15" customHeight="1" x14ac:dyDescent="0.2">
      <c r="A27" s="15"/>
      <c r="B27" s="258" t="s">
        <v>800</v>
      </c>
      <c r="C27" s="258"/>
      <c r="D27" s="258"/>
      <c r="E27" s="258"/>
      <c r="F27" s="258"/>
      <c r="G27" s="258"/>
      <c r="H27" s="258"/>
      <c r="I27" s="258"/>
      <c r="J27" s="258"/>
      <c r="K27" s="258"/>
      <c r="L27" s="258"/>
      <c r="M27" s="258"/>
      <c r="N27" s="258"/>
      <c r="O27" s="259">
        <f>MIN(O12:O20)</f>
        <v>1.9880270775419089</v>
      </c>
      <c r="P27" s="259">
        <f>MIN(P12:P20)</f>
        <v>8.5748718303910056</v>
      </c>
      <c r="Q27" s="259">
        <f>MIN(Q12:Q20)</f>
        <v>13.478314791536512</v>
      </c>
      <c r="R27" s="15"/>
    </row>
    <row r="28" spans="1:18" ht="68.25" customHeight="1" x14ac:dyDescent="0.2">
      <c r="A28" s="15"/>
      <c r="B28" s="15" t="s">
        <v>801</v>
      </c>
      <c r="C28" s="15"/>
      <c r="D28" s="15"/>
      <c r="E28" s="15"/>
      <c r="F28" s="15"/>
      <c r="G28" s="15"/>
      <c r="H28" s="15"/>
      <c r="I28" s="15"/>
      <c r="J28" s="15"/>
      <c r="K28" s="15"/>
      <c r="L28" s="15"/>
      <c r="M28" s="15"/>
      <c r="N28" s="15"/>
      <c r="O28" s="15">
        <f>MEDIAN(O12:O16)</f>
        <v>2.5741581483064953</v>
      </c>
      <c r="P28" s="15">
        <f>MEDIAN(P12:P16)</f>
        <v>11.551561746261456</v>
      </c>
      <c r="Q28" s="15">
        <f>MEDIAN(Q12:Q16)</f>
        <v>20.27414391419066</v>
      </c>
      <c r="R28" s="15"/>
    </row>
    <row r="29" spans="1:18" ht="15" customHeight="1" x14ac:dyDescent="0.2">
      <c r="A29" s="15"/>
      <c r="B29" s="260" t="s">
        <v>802</v>
      </c>
      <c r="C29" s="241"/>
      <c r="D29" s="241"/>
      <c r="E29" s="241"/>
      <c r="F29" s="241"/>
      <c r="G29" s="241"/>
      <c r="H29" s="241"/>
      <c r="I29" s="241"/>
      <c r="J29" s="241"/>
      <c r="K29" s="241"/>
      <c r="L29" s="241"/>
      <c r="M29" s="241"/>
      <c r="N29" s="241"/>
      <c r="O29" s="241" t="s">
        <v>793</v>
      </c>
      <c r="P29" s="241" t="s">
        <v>794</v>
      </c>
      <c r="Q29" s="241" t="s">
        <v>795</v>
      </c>
      <c r="R29" s="15"/>
    </row>
    <row r="30" spans="1:18" ht="6.75" customHeight="1" x14ac:dyDescent="0.2">
      <c r="A30" s="15"/>
      <c r="B30" s="15"/>
      <c r="C30" s="15"/>
      <c r="D30" s="15"/>
      <c r="E30" s="15"/>
      <c r="F30" s="15"/>
      <c r="G30" s="15"/>
      <c r="H30" s="15"/>
      <c r="I30" s="15"/>
      <c r="J30" s="15"/>
      <c r="K30" s="15"/>
      <c r="L30" s="15"/>
      <c r="M30" s="15"/>
      <c r="N30" s="15"/>
      <c r="O30" s="15"/>
      <c r="P30" s="15"/>
      <c r="Q30" s="15"/>
      <c r="R30" s="15"/>
    </row>
    <row r="31" spans="1:18" ht="15" customHeight="1" x14ac:dyDescent="0.2">
      <c r="A31" s="15"/>
      <c r="B31" s="15" t="s">
        <v>803</v>
      </c>
      <c r="C31" s="15"/>
      <c r="D31" s="15"/>
      <c r="E31" s="15"/>
      <c r="F31" s="15"/>
      <c r="G31" s="15"/>
      <c r="H31" s="15"/>
      <c r="I31" s="15"/>
      <c r="J31" s="15"/>
      <c r="K31" s="15"/>
      <c r="L31" s="15"/>
      <c r="M31" s="15"/>
      <c r="N31" s="15"/>
      <c r="O31" s="261">
        <f>O$25*K11</f>
        <v>527641.11519604432</v>
      </c>
      <c r="P31" s="261">
        <f>P$25*L11</f>
        <v>667532.93563288741</v>
      </c>
      <c r="Q31" s="261">
        <f>Q33+Q32</f>
        <v>723328.62435288751</v>
      </c>
      <c r="R31" s="15"/>
    </row>
    <row r="32" spans="1:18" ht="15" customHeight="1" x14ac:dyDescent="0.2">
      <c r="A32" s="15"/>
      <c r="B32" s="15" t="s">
        <v>791</v>
      </c>
      <c r="C32" s="15"/>
      <c r="D32" s="15"/>
      <c r="E32" s="15"/>
      <c r="F32" s="15"/>
      <c r="G32" s="15"/>
      <c r="H32" s="15"/>
      <c r="I32" s="15"/>
      <c r="J32" s="15"/>
      <c r="K32" s="15"/>
      <c r="L32" s="15"/>
      <c r="M32" s="15"/>
      <c r="N32" s="15"/>
      <c r="O32" s="261">
        <f>$G$11</f>
        <v>-13025</v>
      </c>
      <c r="P32" s="261">
        <f>$G$11</f>
        <v>-13025</v>
      </c>
      <c r="Q32" s="261">
        <f>$G$11</f>
        <v>-13025</v>
      </c>
      <c r="R32" s="15"/>
    </row>
    <row r="33" spans="1:18" ht="15" customHeight="1" x14ac:dyDescent="0.2">
      <c r="A33" s="15"/>
      <c r="B33" s="15" t="s">
        <v>804</v>
      </c>
      <c r="C33" s="15"/>
      <c r="D33" s="15"/>
      <c r="E33" s="15"/>
      <c r="F33" s="15"/>
      <c r="G33" s="15"/>
      <c r="H33" s="15"/>
      <c r="I33" s="15"/>
      <c r="J33" s="15"/>
      <c r="K33" s="15"/>
      <c r="L33" s="15"/>
      <c r="M33" s="15"/>
      <c r="N33" s="15"/>
      <c r="O33" s="261">
        <f>O31-O32</f>
        <v>540666.11519604432</v>
      </c>
      <c r="P33" s="261">
        <f>P31-P32</f>
        <v>680557.93563288741</v>
      </c>
      <c r="Q33" s="261">
        <f>Q25*M11</f>
        <v>736353.62435288751</v>
      </c>
      <c r="R33" s="15"/>
    </row>
    <row r="34" spans="1:18" ht="15" customHeight="1" x14ac:dyDescent="0.2">
      <c r="A34" s="15"/>
      <c r="B34" s="15" t="s">
        <v>781</v>
      </c>
      <c r="C34" s="15"/>
      <c r="D34" s="15"/>
      <c r="E34" s="15"/>
      <c r="F34" s="15"/>
      <c r="G34" s="15"/>
      <c r="H34" s="15"/>
      <c r="I34" s="15"/>
      <c r="J34" s="15"/>
      <c r="K34" s="15"/>
      <c r="L34" s="15"/>
      <c r="M34" s="15"/>
      <c r="N34" s="15"/>
      <c r="O34" s="261">
        <f>$E$11</f>
        <v>405.81</v>
      </c>
      <c r="P34" s="261">
        <f>$E$11</f>
        <v>405.81</v>
      </c>
      <c r="Q34" s="261">
        <f>$E$11</f>
        <v>405.81</v>
      </c>
      <c r="R34" s="15"/>
    </row>
    <row r="35" spans="1:18" ht="6" customHeight="1" x14ac:dyDescent="0.2">
      <c r="A35" s="15"/>
      <c r="B35" s="15" t="s">
        <v>805</v>
      </c>
      <c r="C35" s="15"/>
      <c r="D35" s="15"/>
      <c r="E35" s="15"/>
      <c r="F35" s="15"/>
      <c r="G35" s="15"/>
      <c r="H35" s="15"/>
      <c r="I35" s="15"/>
      <c r="J35" s="15"/>
      <c r="K35" s="15"/>
      <c r="L35" s="15"/>
      <c r="M35" s="15"/>
      <c r="N35" s="15"/>
      <c r="O35" s="261"/>
      <c r="P35" s="261"/>
      <c r="Q35" s="261"/>
      <c r="R35" s="15"/>
    </row>
    <row r="36" spans="1:18" ht="15" customHeight="1" x14ac:dyDescent="0.2">
      <c r="A36" s="15"/>
      <c r="B36" s="262" t="s">
        <v>806</v>
      </c>
      <c r="C36" s="262"/>
      <c r="D36" s="262"/>
      <c r="E36" s="262"/>
      <c r="F36" s="262"/>
      <c r="G36" s="262"/>
      <c r="H36" s="262"/>
      <c r="I36" s="262"/>
      <c r="J36" s="262"/>
      <c r="K36" s="262"/>
      <c r="L36" s="262"/>
      <c r="M36" s="262"/>
      <c r="N36" s="262"/>
      <c r="O36" s="263">
        <f>O33/O34</f>
        <v>1332.3134353417715</v>
      </c>
      <c r="P36" s="263">
        <f>P33/P34</f>
        <v>1677.0358927401676</v>
      </c>
      <c r="Q36" s="263">
        <f>Q33/Q34</f>
        <v>1814.5280410854525</v>
      </c>
      <c r="R36" s="15"/>
    </row>
    <row r="37" spans="1:18" ht="16.5" customHeight="1" x14ac:dyDescent="0.2">
      <c r="A37" s="15"/>
      <c r="B37" s="19" t="s">
        <v>807</v>
      </c>
      <c r="C37" s="19"/>
      <c r="D37" s="19"/>
      <c r="E37" s="19"/>
      <c r="F37" s="19"/>
      <c r="G37" s="19"/>
      <c r="H37" s="19"/>
      <c r="I37" s="19"/>
      <c r="J37" s="19"/>
      <c r="K37" s="19"/>
      <c r="L37" s="19"/>
      <c r="M37" s="19"/>
      <c r="N37" s="19"/>
      <c r="O37" s="264">
        <f>(O28*K11-G11)/E11</f>
        <v>1202.947831080332</v>
      </c>
      <c r="P37" s="264">
        <f>(P28*L11-G11)/E11</f>
        <v>1398.6937923566845</v>
      </c>
      <c r="Q37" s="264">
        <f>Q28*M11/E11</f>
        <v>1515.0277573195135</v>
      </c>
      <c r="R37" s="15"/>
    </row>
    <row r="38" spans="1:18" ht="15" customHeight="1" x14ac:dyDescent="0.2">
      <c r="A38" s="15"/>
      <c r="B38" s="236" t="s">
        <v>808</v>
      </c>
      <c r="C38" s="15"/>
      <c r="D38" s="15" t="s">
        <v>809</v>
      </c>
      <c r="E38" s="15"/>
      <c r="F38" s="15"/>
      <c r="G38" s="15"/>
      <c r="H38" s="15"/>
      <c r="I38" s="15"/>
      <c r="J38" s="15"/>
      <c r="K38" s="15"/>
      <c r="L38" s="15"/>
      <c r="M38" s="15"/>
      <c r="N38" s="15"/>
      <c r="O38" s="15"/>
      <c r="P38" s="15"/>
      <c r="Q38" s="15"/>
      <c r="R38" s="15"/>
    </row>
    <row r="39" spans="1:18" ht="15" customHeight="1" x14ac:dyDescent="0.2">
      <c r="A39" s="15"/>
      <c r="B39" s="15"/>
      <c r="C39" s="15"/>
      <c r="D39" s="15"/>
      <c r="E39" s="15"/>
      <c r="F39" s="15"/>
      <c r="G39" s="15"/>
      <c r="H39" s="15"/>
      <c r="I39" s="15"/>
      <c r="J39" s="15"/>
      <c r="K39" s="15"/>
      <c r="L39" s="15"/>
      <c r="M39" s="15"/>
      <c r="N39" s="15"/>
      <c r="O39" s="15" t="str">
        <f>IF(O36&gt;$D$11,"Undervalued","Overvalued")</f>
        <v>Undervalued</v>
      </c>
      <c r="P39" s="15" t="str">
        <f>IF(P36&gt;$D$11,"Undervalued","Overvalued")</f>
        <v>Undervalued</v>
      </c>
      <c r="Q39" s="15" t="str">
        <f>IF(Q36&gt;$D$11,"Undervalued","Overvalued")</f>
        <v>Undervalued</v>
      </c>
      <c r="R39" s="15"/>
    </row>
  </sheetData>
  <mergeCells count="4">
    <mergeCell ref="A1:H1"/>
    <mergeCell ref="D8:I8"/>
    <mergeCell ref="K8:M8"/>
    <mergeCell ref="O8:Q8"/>
  </mergeCells>
  <pageMargins left="0.7" right="0.7" top="0.75" bottom="0.75" header="0.511811023622047" footer="0.511811023622047"/>
  <pageSetup paperSize="9" orientation="portrait" horizontalDpi="300" verticalDpi="300"/>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BF8F00"/>
  </sheetPr>
  <dimension ref="A1:Q17"/>
  <sheetViews>
    <sheetView topLeftCell="C1" zoomScale="90" zoomScaleNormal="90" workbookViewId="0">
      <selection activeCell="N11" sqref="N11"/>
    </sheetView>
  </sheetViews>
  <sheetFormatPr baseColWidth="10" defaultColWidth="10.6640625" defaultRowHeight="15" x14ac:dyDescent="0.2"/>
  <cols>
    <col min="1" max="1" width="2.33203125" customWidth="1"/>
  </cols>
  <sheetData>
    <row r="1" spans="1:17" ht="27.75" customHeight="1" x14ac:dyDescent="0.2">
      <c r="A1" s="284" t="str">
        <f>'Data Sheet'!B1&amp;" - Football Field Valuation Summary"</f>
        <v>INFOSYS LTD - Football Field Valuation Summary</v>
      </c>
      <c r="B1" s="284"/>
      <c r="C1" s="284"/>
      <c r="D1" s="284"/>
      <c r="E1" s="284"/>
      <c r="F1" s="284"/>
      <c r="G1" s="284"/>
      <c r="H1" s="284"/>
      <c r="I1" s="15"/>
      <c r="J1" s="15"/>
      <c r="K1" s="15"/>
      <c r="L1" s="15"/>
      <c r="M1" s="15"/>
      <c r="N1" s="15"/>
      <c r="O1" s="15"/>
      <c r="P1" s="15"/>
      <c r="Q1" s="15"/>
    </row>
    <row r="2" spans="1:17" ht="15" customHeight="1" x14ac:dyDescent="0.2">
      <c r="A2" s="15"/>
      <c r="B2" s="15"/>
      <c r="C2" s="15"/>
      <c r="D2" s="15"/>
      <c r="E2" s="15"/>
      <c r="F2" s="15"/>
      <c r="G2" s="15"/>
      <c r="H2" s="15"/>
      <c r="I2" s="15"/>
      <c r="J2" s="15"/>
      <c r="K2" s="15"/>
      <c r="L2" s="15"/>
      <c r="M2" s="15"/>
      <c r="N2" s="15"/>
      <c r="O2" s="15"/>
      <c r="P2" s="15"/>
      <c r="Q2" s="15"/>
    </row>
    <row r="3" spans="1:17" ht="15" customHeight="1" x14ac:dyDescent="0.2">
      <c r="A3" s="15"/>
      <c r="B3" s="15"/>
      <c r="C3" s="15"/>
      <c r="D3" s="15"/>
      <c r="E3" s="15"/>
      <c r="F3" s="15"/>
      <c r="G3" s="15"/>
      <c r="H3" s="15"/>
      <c r="I3" s="15"/>
      <c r="J3" s="15"/>
      <c r="K3" s="15"/>
      <c r="L3" s="15"/>
      <c r="M3" s="15"/>
      <c r="N3" s="15"/>
      <c r="O3" s="15"/>
      <c r="P3" s="15"/>
      <c r="Q3" s="15"/>
    </row>
    <row r="4" spans="1:17" ht="15" customHeight="1" x14ac:dyDescent="0.2">
      <c r="A4" s="15"/>
      <c r="B4" s="15"/>
      <c r="C4" s="15"/>
      <c r="D4" s="15"/>
      <c r="E4" s="15"/>
      <c r="F4" s="15"/>
      <c r="G4" s="15"/>
      <c r="H4" s="15"/>
      <c r="I4" s="15"/>
      <c r="J4" s="15"/>
      <c r="K4" s="15"/>
      <c r="L4" s="15"/>
      <c r="M4" s="15"/>
      <c r="N4" s="15"/>
      <c r="O4" s="15"/>
      <c r="P4" s="15"/>
      <c r="Q4" s="15"/>
    </row>
    <row r="5" spans="1:17" ht="15" customHeight="1" x14ac:dyDescent="0.2">
      <c r="A5" s="15"/>
      <c r="B5" s="15"/>
      <c r="C5" s="15"/>
      <c r="D5" s="15"/>
      <c r="E5" s="15"/>
      <c r="F5" s="15"/>
      <c r="G5" s="15"/>
      <c r="H5" s="15"/>
      <c r="I5" s="15"/>
      <c r="J5" s="15"/>
      <c r="K5" s="15"/>
      <c r="L5" s="15"/>
      <c r="M5" s="15"/>
      <c r="N5" s="15"/>
      <c r="O5" s="15"/>
      <c r="P5" s="15"/>
      <c r="Q5" s="15"/>
    </row>
    <row r="6" spans="1:17" ht="15" customHeight="1" x14ac:dyDescent="0.2">
      <c r="A6" s="15"/>
      <c r="B6" s="15"/>
      <c r="C6" s="15"/>
      <c r="D6" s="15"/>
      <c r="E6" s="15"/>
      <c r="F6" s="15"/>
      <c r="G6" s="15"/>
      <c r="H6" s="15"/>
      <c r="I6" s="15"/>
      <c r="J6" s="15"/>
      <c r="K6" s="15"/>
      <c r="L6" s="265" t="s">
        <v>810</v>
      </c>
      <c r="M6" s="265"/>
      <c r="N6" s="265"/>
      <c r="O6" s="265"/>
      <c r="P6" s="265"/>
      <c r="Q6" s="265"/>
    </row>
    <row r="7" spans="1:17" ht="15" customHeight="1" x14ac:dyDescent="0.2">
      <c r="A7" s="15"/>
      <c r="B7" s="15"/>
      <c r="C7" s="15"/>
      <c r="D7" s="15"/>
      <c r="E7" s="15"/>
      <c r="F7" s="15"/>
      <c r="G7" s="15"/>
      <c r="H7" s="15"/>
      <c r="I7" s="15"/>
      <c r="J7" s="15"/>
      <c r="K7" s="15"/>
      <c r="L7" s="15"/>
      <c r="M7" s="15"/>
      <c r="N7" s="15" t="s">
        <v>811</v>
      </c>
      <c r="O7" s="15" t="s">
        <v>800</v>
      </c>
      <c r="P7" s="15" t="s">
        <v>812</v>
      </c>
      <c r="Q7" s="15" t="s">
        <v>813</v>
      </c>
    </row>
    <row r="8" spans="1:17" ht="15" customHeight="1" x14ac:dyDescent="0.2">
      <c r="A8" s="15"/>
      <c r="B8" s="15"/>
      <c r="C8" s="15"/>
      <c r="D8" s="15"/>
      <c r="E8" s="15"/>
      <c r="F8" s="15"/>
      <c r="G8" s="15"/>
      <c r="H8" s="15"/>
      <c r="I8" s="15"/>
      <c r="J8" s="15"/>
      <c r="K8" s="15"/>
      <c r="L8" s="15" t="s">
        <v>160</v>
      </c>
      <c r="M8" s="15"/>
      <c r="N8" s="109">
        <f>MIN('Comps Val'!$O$37:$Q$37)</f>
        <v>1202.947831080332</v>
      </c>
      <c r="O8" s="109">
        <f>N8</f>
        <v>1202.947831080332</v>
      </c>
      <c r="P8" s="109">
        <f>MAX('Comps Val'!$O$37:$Q$37)</f>
        <v>1515.0277573195135</v>
      </c>
      <c r="Q8" s="109">
        <f>P8</f>
        <v>1515.0277573195135</v>
      </c>
    </row>
    <row r="9" spans="1:17" ht="15" customHeight="1" x14ac:dyDescent="0.2">
      <c r="A9" s="15"/>
      <c r="B9" s="15"/>
      <c r="C9" s="15"/>
      <c r="D9" s="15"/>
      <c r="E9" s="15"/>
      <c r="F9" s="15"/>
      <c r="G9" s="15"/>
      <c r="H9" s="15"/>
      <c r="I9" s="15"/>
      <c r="J9" s="15"/>
      <c r="K9" s="15"/>
      <c r="L9" s="15" t="s">
        <v>814</v>
      </c>
      <c r="M9" s="15"/>
      <c r="N9" s="266">
        <f>Scenarios!K3</f>
        <v>715.09871573992143</v>
      </c>
      <c r="O9" s="266">
        <f>N9</f>
        <v>715.09871573992143</v>
      </c>
      <c r="P9" s="266">
        <f>N9</f>
        <v>715.09871573992143</v>
      </c>
      <c r="Q9" s="266">
        <f>N9</f>
        <v>715.09871573992143</v>
      </c>
    </row>
    <row r="10" spans="1:17" ht="15" customHeight="1" x14ac:dyDescent="0.2">
      <c r="A10" s="15"/>
      <c r="B10" s="15"/>
      <c r="C10" s="15"/>
      <c r="D10" s="15"/>
      <c r="E10" s="15"/>
      <c r="F10" s="15"/>
      <c r="G10" s="15"/>
      <c r="H10" s="15"/>
      <c r="I10" s="15"/>
      <c r="J10" s="15"/>
      <c r="K10" s="15"/>
      <c r="L10" s="15" t="s">
        <v>815</v>
      </c>
      <c r="M10" s="15"/>
      <c r="N10" s="266">
        <f>Scenarios!K4</f>
        <v>796.21700597998165</v>
      </c>
      <c r="O10" s="266">
        <f>N10</f>
        <v>796.21700597998165</v>
      </c>
      <c r="P10" s="266">
        <f>N10</f>
        <v>796.21700597998165</v>
      </c>
      <c r="Q10" s="266">
        <f>N10</f>
        <v>796.21700597998165</v>
      </c>
    </row>
    <row r="11" spans="1:17" ht="15" customHeight="1" x14ac:dyDescent="0.2">
      <c r="A11" s="15"/>
      <c r="B11" s="15"/>
      <c r="C11" s="15"/>
      <c r="D11" s="15"/>
      <c r="E11" s="15"/>
      <c r="F11" s="15"/>
      <c r="G11" s="15"/>
      <c r="H11" s="15"/>
      <c r="I11" s="15"/>
      <c r="J11" s="15"/>
      <c r="K11" s="15"/>
      <c r="L11" s="15" t="s">
        <v>816</v>
      </c>
      <c r="M11" s="15"/>
      <c r="N11" s="266">
        <f>Scenarios!K5</f>
        <v>910.32941074576468</v>
      </c>
      <c r="O11" s="266">
        <f>N11</f>
        <v>910.32941074576468</v>
      </c>
      <c r="P11" s="266">
        <f>N11</f>
        <v>910.32941074576468</v>
      </c>
      <c r="Q11" s="266">
        <f>N11</f>
        <v>910.32941074576468</v>
      </c>
    </row>
    <row r="12" spans="1:17" ht="15" customHeight="1" x14ac:dyDescent="0.2">
      <c r="A12" s="15"/>
      <c r="B12" s="15"/>
      <c r="C12" s="15"/>
      <c r="D12" s="15"/>
      <c r="E12" s="15"/>
      <c r="F12" s="15"/>
      <c r="G12" s="15"/>
      <c r="H12" s="15"/>
      <c r="I12" s="15"/>
      <c r="J12" s="15"/>
      <c r="K12" s="15"/>
      <c r="L12" s="15" t="s">
        <v>817</v>
      </c>
      <c r="M12" s="15"/>
      <c r="N12" s="107">
        <v>982.4</v>
      </c>
      <c r="O12" s="107">
        <v>982.4</v>
      </c>
      <c r="P12" s="107">
        <v>1728</v>
      </c>
      <c r="Q12" s="107">
        <v>1728</v>
      </c>
    </row>
    <row r="13" spans="1:17" ht="15" customHeight="1" x14ac:dyDescent="0.2">
      <c r="A13" s="15"/>
      <c r="B13" s="15"/>
      <c r="C13" s="15"/>
      <c r="D13" s="15"/>
      <c r="E13" s="15"/>
      <c r="F13" s="15"/>
      <c r="G13" s="15"/>
      <c r="H13" s="15"/>
      <c r="I13" s="15"/>
      <c r="J13" s="15"/>
      <c r="K13" s="15"/>
      <c r="L13" s="15"/>
      <c r="M13" s="15"/>
      <c r="N13" s="15"/>
      <c r="O13" s="15"/>
      <c r="P13" s="15"/>
      <c r="Q13" s="15"/>
    </row>
    <row r="14" spans="1:17" ht="15" customHeight="1" x14ac:dyDescent="0.2">
      <c r="A14" s="15"/>
      <c r="B14" s="15"/>
      <c r="C14" s="15"/>
      <c r="D14" s="15"/>
      <c r="E14" s="15"/>
      <c r="F14" s="15"/>
      <c r="G14" s="15"/>
      <c r="H14" s="15"/>
      <c r="I14" s="15"/>
      <c r="J14" s="15"/>
      <c r="K14" s="15"/>
      <c r="L14" s="15" t="s">
        <v>388</v>
      </c>
      <c r="M14" s="11" t="s">
        <v>818</v>
      </c>
      <c r="N14" s="11"/>
      <c r="O14" s="11"/>
      <c r="P14" s="11"/>
      <c r="Q14" s="11"/>
    </row>
    <row r="15" spans="1:17" ht="15" customHeight="1" x14ac:dyDescent="0.2">
      <c r="A15" s="15"/>
      <c r="B15" s="15"/>
      <c r="C15" s="15"/>
      <c r="D15" s="15"/>
      <c r="E15" s="15"/>
      <c r="F15" s="15"/>
      <c r="G15" s="15"/>
      <c r="H15" s="15"/>
      <c r="I15" s="15"/>
      <c r="J15" s="15"/>
      <c r="K15" s="15"/>
      <c r="L15" s="15"/>
      <c r="M15" s="11"/>
      <c r="N15" s="11"/>
      <c r="O15" s="11"/>
      <c r="P15" s="11"/>
      <c r="Q15" s="11"/>
    </row>
    <row r="16" spans="1:17" ht="15" customHeight="1" x14ac:dyDescent="0.2">
      <c r="A16" s="15"/>
      <c r="B16" s="15"/>
      <c r="C16" s="15"/>
      <c r="D16" s="15"/>
      <c r="E16" s="15"/>
      <c r="F16" s="15"/>
      <c r="G16" s="15"/>
      <c r="H16" s="15"/>
      <c r="I16" s="15"/>
      <c r="J16" s="15"/>
      <c r="K16" s="15"/>
      <c r="L16" s="15"/>
      <c r="M16" s="15"/>
      <c r="N16" s="15"/>
      <c r="O16" s="15"/>
      <c r="P16" s="15"/>
      <c r="Q16" s="15"/>
    </row>
    <row r="17" spans="1:17" ht="15" customHeight="1" x14ac:dyDescent="0.2">
      <c r="A17" s="15"/>
      <c r="B17" s="15"/>
      <c r="C17" s="15"/>
      <c r="D17" s="15"/>
      <c r="E17" s="15"/>
      <c r="F17" s="15"/>
      <c r="G17" s="15"/>
      <c r="H17" s="15"/>
      <c r="I17" s="15"/>
      <c r="J17" s="15"/>
      <c r="K17" s="15"/>
      <c r="L17" s="267"/>
      <c r="M17" s="15"/>
      <c r="N17" s="15"/>
      <c r="O17" s="15"/>
      <c r="P17" s="15"/>
      <c r="Q17" s="15"/>
    </row>
  </sheetData>
  <mergeCells count="2">
    <mergeCell ref="A1:H1"/>
    <mergeCell ref="M14:Q15"/>
  </mergeCells>
  <pageMargins left="0.7" right="0.7" top="0.75" bottom="0.75" header="0.511811023622047" footer="0.511811023622047"/>
  <pageSetup paperSize="9" orientation="portrait" horizontalDpi="300" verticalDpi="300"/>
  <drawing r:id="rId1"/>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808080"/>
  </sheetPr>
  <dimension ref="A1:K93"/>
  <sheetViews>
    <sheetView zoomScale="90" zoomScaleNormal="90" workbookViewId="0">
      <pane xSplit="1" ySplit="15" topLeftCell="B16" activePane="bottomRight" state="frozen"/>
      <selection pane="topRight" activeCell="B1" sqref="B1"/>
      <selection pane="bottomLeft" activeCell="A16" sqref="A16"/>
      <selection pane="bottomRight" activeCell="D11" sqref="D11"/>
    </sheetView>
  </sheetViews>
  <sheetFormatPr baseColWidth="10" defaultColWidth="17.83203125" defaultRowHeight="15" x14ac:dyDescent="0.2"/>
  <cols>
    <col min="1" max="16384" width="17.83203125" style="51"/>
  </cols>
  <sheetData>
    <row r="1" spans="1:11" s="53" customFormat="1" ht="15" customHeight="1" x14ac:dyDescent="0.2">
      <c r="A1" s="53" t="s">
        <v>819</v>
      </c>
      <c r="B1" s="53" t="s">
        <v>820</v>
      </c>
      <c r="I1" s="268"/>
      <c r="J1" s="268"/>
      <c r="K1" s="268"/>
    </row>
    <row r="2" spans="1:11" ht="15" customHeight="1" x14ac:dyDescent="0.2">
      <c r="A2" s="53"/>
      <c r="B2" s="51">
        <v>2.1</v>
      </c>
      <c r="E2" s="286" t="s">
        <v>821</v>
      </c>
      <c r="F2" s="286"/>
      <c r="G2" s="286"/>
      <c r="H2" s="286"/>
      <c r="I2" s="286"/>
      <c r="J2" s="286"/>
      <c r="K2" s="286"/>
    </row>
    <row r="3" spans="1:11" ht="15" customHeight="1" x14ac:dyDescent="0.2">
      <c r="A3" s="53" t="s">
        <v>822</v>
      </c>
      <c r="B3" s="51">
        <v>2.1</v>
      </c>
    </row>
    <row r="4" spans="1:11" ht="15" customHeight="1" x14ac:dyDescent="0.2">
      <c r="A4" s="53"/>
    </row>
    <row r="5" spans="1:11" ht="15" customHeight="1" x14ac:dyDescent="0.2">
      <c r="A5" s="53" t="s">
        <v>823</v>
      </c>
    </row>
    <row r="6" spans="1:11" ht="15" customHeight="1" x14ac:dyDescent="0.2">
      <c r="A6" s="51" t="s">
        <v>824</v>
      </c>
      <c r="B6" s="148">
        <v>405.81</v>
      </c>
    </row>
    <row r="7" spans="1:11" ht="15" customHeight="1" x14ac:dyDescent="0.2">
      <c r="A7" s="51" t="s">
        <v>825</v>
      </c>
      <c r="B7" s="51">
        <v>5</v>
      </c>
    </row>
    <row r="8" spans="1:11" ht="15" customHeight="1" x14ac:dyDescent="0.2">
      <c r="A8" s="51" t="s">
        <v>826</v>
      </c>
      <c r="B8" s="148">
        <v>1121</v>
      </c>
    </row>
    <row r="9" spans="1:11" ht="15" customHeight="1" x14ac:dyDescent="0.2">
      <c r="A9" s="51" t="s">
        <v>614</v>
      </c>
      <c r="B9" s="51">
        <v>454908.14</v>
      </c>
    </row>
    <row r="15" spans="1:11" ht="15" customHeight="1" x14ac:dyDescent="0.2">
      <c r="A15" s="53" t="s">
        <v>827</v>
      </c>
    </row>
    <row r="16" spans="1:11" s="270" customFormat="1" ht="15" customHeight="1" x14ac:dyDescent="0.2">
      <c r="A16" s="269" t="s">
        <v>828</v>
      </c>
      <c r="B16" s="61">
        <v>42825</v>
      </c>
      <c r="C16" s="61">
        <v>43190</v>
      </c>
      <c r="D16" s="61">
        <v>43555</v>
      </c>
      <c r="E16" s="61">
        <v>43921</v>
      </c>
      <c r="F16" s="61">
        <v>44286</v>
      </c>
      <c r="G16" s="61">
        <v>44651</v>
      </c>
      <c r="H16" s="61">
        <v>45016</v>
      </c>
      <c r="I16" s="61">
        <v>45382</v>
      </c>
      <c r="J16" s="61">
        <v>45747</v>
      </c>
      <c r="K16" s="61">
        <v>46112</v>
      </c>
    </row>
    <row r="17" spans="1:11" ht="15" customHeight="1" x14ac:dyDescent="0.2">
      <c r="A17" s="51" t="s">
        <v>175</v>
      </c>
      <c r="B17" s="51">
        <v>68484</v>
      </c>
      <c r="C17" s="51">
        <v>70522</v>
      </c>
      <c r="D17" s="51">
        <v>82675</v>
      </c>
      <c r="E17" s="51">
        <v>90791</v>
      </c>
      <c r="F17" s="51">
        <v>100472</v>
      </c>
      <c r="G17" s="51">
        <v>121641</v>
      </c>
      <c r="H17" s="51">
        <v>146767</v>
      </c>
      <c r="I17" s="51">
        <v>153670</v>
      </c>
      <c r="J17" s="51">
        <v>162990</v>
      </c>
      <c r="K17" s="51">
        <v>178650</v>
      </c>
    </row>
    <row r="18" spans="1:11" ht="15" customHeight="1" x14ac:dyDescent="0.2">
      <c r="A18" s="51" t="s">
        <v>829</v>
      </c>
    </row>
    <row r="19" spans="1:11" ht="15" customHeight="1" x14ac:dyDescent="0.2">
      <c r="A19" s="51" t="s">
        <v>830</v>
      </c>
    </row>
    <row r="20" spans="1:11" ht="15" customHeight="1" x14ac:dyDescent="0.2">
      <c r="A20" s="51" t="s">
        <v>831</v>
      </c>
      <c r="B20" s="51">
        <v>228</v>
      </c>
      <c r="C20" s="51">
        <v>207</v>
      </c>
      <c r="D20" s="51">
        <v>221</v>
      </c>
      <c r="E20" s="51">
        <v>229</v>
      </c>
      <c r="F20" s="51">
        <v>143</v>
      </c>
      <c r="G20" s="51">
        <v>132</v>
      </c>
      <c r="H20" s="51">
        <v>176</v>
      </c>
      <c r="I20" s="51">
        <v>199</v>
      </c>
      <c r="J20" s="51">
        <v>222</v>
      </c>
      <c r="K20" s="51">
        <v>223</v>
      </c>
    </row>
    <row r="21" spans="1:11" ht="15" customHeight="1" x14ac:dyDescent="0.2">
      <c r="A21" s="51" t="s">
        <v>832</v>
      </c>
      <c r="B21" s="51">
        <v>6712</v>
      </c>
      <c r="C21" s="51">
        <v>7286</v>
      </c>
      <c r="D21" s="51">
        <v>9902</v>
      </c>
      <c r="E21" s="51">
        <v>11086</v>
      </c>
      <c r="F21" s="51">
        <v>12800</v>
      </c>
      <c r="G21" s="51">
        <v>20690</v>
      </c>
      <c r="H21" s="51">
        <v>26330</v>
      </c>
      <c r="I21" s="51">
        <v>27195</v>
      </c>
      <c r="J21" s="51">
        <v>30395</v>
      </c>
      <c r="K21" s="51">
        <v>32922</v>
      </c>
    </row>
    <row r="22" spans="1:11" ht="15" customHeight="1" x14ac:dyDescent="0.2">
      <c r="A22" s="51" t="s">
        <v>833</v>
      </c>
      <c r="B22" s="51">
        <v>37669</v>
      </c>
      <c r="C22" s="51">
        <v>38902</v>
      </c>
      <c r="D22" s="51">
        <v>45323</v>
      </c>
      <c r="E22" s="51">
        <v>50895</v>
      </c>
      <c r="F22" s="51">
        <v>55547</v>
      </c>
      <c r="G22" s="51">
        <v>63997</v>
      </c>
      <c r="H22" s="51">
        <v>78374</v>
      </c>
      <c r="I22" s="51">
        <v>82636</v>
      </c>
      <c r="J22" s="51">
        <v>85968</v>
      </c>
      <c r="K22" s="51">
        <v>95112</v>
      </c>
    </row>
    <row r="23" spans="1:11" ht="15" customHeight="1" x14ac:dyDescent="0.2">
      <c r="A23" s="51" t="s">
        <v>834</v>
      </c>
      <c r="B23" s="51">
        <v>4584</v>
      </c>
      <c r="C23" s="51">
        <v>4585</v>
      </c>
      <c r="D23" s="51">
        <v>5553</v>
      </c>
      <c r="E23" s="51">
        <v>5375</v>
      </c>
      <c r="F23" s="51">
        <v>3194</v>
      </c>
      <c r="G23" s="51">
        <v>4305</v>
      </c>
      <c r="H23" s="51">
        <v>5300</v>
      </c>
      <c r="I23" s="51">
        <v>5705</v>
      </c>
      <c r="J23" s="51">
        <v>6039</v>
      </c>
      <c r="K23" s="51">
        <v>6784</v>
      </c>
    </row>
    <row r="24" spans="1:11" ht="15" customHeight="1" x14ac:dyDescent="0.2">
      <c r="A24" s="51" t="s">
        <v>835</v>
      </c>
      <c r="B24" s="51">
        <v>687</v>
      </c>
      <c r="C24" s="51">
        <v>720</v>
      </c>
      <c r="D24" s="51">
        <v>1506</v>
      </c>
      <c r="E24" s="51">
        <v>939</v>
      </c>
      <c r="F24" s="51">
        <v>899</v>
      </c>
      <c r="G24" s="51">
        <v>1026</v>
      </c>
      <c r="H24" s="51">
        <v>1457</v>
      </c>
      <c r="I24" s="51">
        <v>1510</v>
      </c>
      <c r="J24" s="51">
        <v>1130</v>
      </c>
      <c r="K24" s="51">
        <v>1329</v>
      </c>
    </row>
    <row r="25" spans="1:11" ht="15" customHeight="1" x14ac:dyDescent="0.2">
      <c r="A25" s="51" t="s">
        <v>259</v>
      </c>
      <c r="B25" s="51">
        <v>3050</v>
      </c>
      <c r="C25" s="51">
        <v>3311</v>
      </c>
      <c r="D25" s="51">
        <v>2882</v>
      </c>
      <c r="E25" s="51">
        <v>2803</v>
      </c>
      <c r="F25" s="51">
        <v>2201</v>
      </c>
      <c r="G25" s="51">
        <v>2295</v>
      </c>
      <c r="H25" s="51">
        <v>2701</v>
      </c>
      <c r="I25" s="51">
        <v>4711</v>
      </c>
      <c r="J25" s="51">
        <v>3600</v>
      </c>
      <c r="K25" s="51">
        <v>3033</v>
      </c>
    </row>
    <row r="26" spans="1:11" ht="15" customHeight="1" x14ac:dyDescent="0.2">
      <c r="A26" s="51" t="s">
        <v>188</v>
      </c>
      <c r="B26" s="51">
        <v>1703</v>
      </c>
      <c r="C26" s="51">
        <v>1863</v>
      </c>
      <c r="D26" s="51">
        <v>2011</v>
      </c>
      <c r="E26" s="51">
        <v>2893</v>
      </c>
      <c r="F26" s="51">
        <v>3267</v>
      </c>
      <c r="G26" s="51">
        <v>3476</v>
      </c>
      <c r="H26" s="51">
        <v>4225</v>
      </c>
      <c r="I26" s="51">
        <v>4678</v>
      </c>
      <c r="J26" s="51">
        <v>4812</v>
      </c>
      <c r="K26" s="51">
        <v>4902</v>
      </c>
    </row>
    <row r="27" spans="1:11" ht="15" customHeight="1" x14ac:dyDescent="0.2">
      <c r="A27" s="51" t="s">
        <v>186</v>
      </c>
      <c r="E27" s="51">
        <v>170</v>
      </c>
      <c r="F27" s="51">
        <v>195</v>
      </c>
      <c r="G27" s="51">
        <v>200</v>
      </c>
      <c r="H27" s="51">
        <v>284</v>
      </c>
      <c r="I27" s="51">
        <v>470</v>
      </c>
      <c r="J27" s="51">
        <v>416</v>
      </c>
      <c r="K27" s="51">
        <v>416</v>
      </c>
    </row>
    <row r="28" spans="1:11" ht="15" customHeight="1" x14ac:dyDescent="0.2">
      <c r="A28" s="51" t="s">
        <v>260</v>
      </c>
      <c r="B28" s="51">
        <v>19951</v>
      </c>
      <c r="C28" s="51">
        <v>20270</v>
      </c>
      <c r="D28" s="51">
        <v>21041</v>
      </c>
      <c r="E28" s="51">
        <v>22007</v>
      </c>
      <c r="F28" s="51">
        <v>26628</v>
      </c>
      <c r="G28" s="51">
        <v>30110</v>
      </c>
      <c r="H28" s="51">
        <v>33322</v>
      </c>
      <c r="I28" s="51">
        <v>35988</v>
      </c>
      <c r="J28" s="51">
        <v>37608</v>
      </c>
      <c r="K28" s="51">
        <v>39995</v>
      </c>
    </row>
    <row r="29" spans="1:11" ht="15" customHeight="1" x14ac:dyDescent="0.2">
      <c r="A29" s="51" t="s">
        <v>192</v>
      </c>
      <c r="B29" s="51">
        <v>5598</v>
      </c>
      <c r="C29" s="51">
        <v>4241</v>
      </c>
      <c r="D29" s="51">
        <v>5631</v>
      </c>
      <c r="E29" s="51">
        <v>5368</v>
      </c>
      <c r="F29" s="51">
        <v>7205</v>
      </c>
      <c r="G29" s="51">
        <v>7964</v>
      </c>
      <c r="H29" s="51">
        <v>9214</v>
      </c>
      <c r="I29" s="51">
        <v>9740</v>
      </c>
      <c r="J29" s="51">
        <v>10858</v>
      </c>
      <c r="K29" s="51">
        <v>10521</v>
      </c>
    </row>
    <row r="30" spans="1:11" ht="15" customHeight="1" x14ac:dyDescent="0.2">
      <c r="A30" s="51" t="s">
        <v>261</v>
      </c>
      <c r="B30" s="51">
        <v>14353</v>
      </c>
      <c r="C30" s="51">
        <v>16029</v>
      </c>
      <c r="D30" s="51">
        <v>15404</v>
      </c>
      <c r="E30" s="51">
        <v>16594</v>
      </c>
      <c r="F30" s="51">
        <v>19351</v>
      </c>
      <c r="G30" s="51">
        <v>22110</v>
      </c>
      <c r="H30" s="51">
        <v>24095</v>
      </c>
      <c r="I30" s="51">
        <v>26233</v>
      </c>
      <c r="J30" s="51">
        <v>26713</v>
      </c>
      <c r="K30" s="51">
        <v>29440</v>
      </c>
    </row>
    <row r="31" spans="1:11" ht="15" customHeight="1" x14ac:dyDescent="0.2">
      <c r="A31" s="51" t="s">
        <v>836</v>
      </c>
      <c r="B31" s="51">
        <v>5891.6</v>
      </c>
      <c r="C31" s="51">
        <v>9465.6</v>
      </c>
      <c r="D31" s="51">
        <v>9222.5</v>
      </c>
      <c r="E31" s="51">
        <v>7427</v>
      </c>
      <c r="F31" s="51">
        <v>11469.6</v>
      </c>
      <c r="G31" s="51">
        <v>13007.6</v>
      </c>
      <c r="H31" s="51">
        <v>14069.2</v>
      </c>
      <c r="I31" s="51">
        <v>19053.2</v>
      </c>
      <c r="J31" s="51">
        <v>17827.8</v>
      </c>
      <c r="K31" s="51">
        <v>19430.400000000001</v>
      </c>
    </row>
    <row r="34" spans="1:11" ht="15" customHeight="1" x14ac:dyDescent="0.2">
      <c r="A34" s="271" t="s">
        <v>184</v>
      </c>
      <c r="B34" s="51">
        <f t="shared" ref="B34:K34" si="0">B30+B29+B27+B26</f>
        <v>21654</v>
      </c>
      <c r="C34" s="51">
        <f t="shared" si="0"/>
        <v>22133</v>
      </c>
      <c r="D34" s="51">
        <f t="shared" si="0"/>
        <v>23046</v>
      </c>
      <c r="E34" s="51">
        <f t="shared" si="0"/>
        <v>25025</v>
      </c>
      <c r="F34" s="51">
        <f t="shared" si="0"/>
        <v>30018</v>
      </c>
      <c r="G34" s="51">
        <f t="shared" si="0"/>
        <v>33750</v>
      </c>
      <c r="H34" s="51">
        <f t="shared" si="0"/>
        <v>37818</v>
      </c>
      <c r="I34" s="51">
        <f t="shared" si="0"/>
        <v>41121</v>
      </c>
      <c r="J34" s="51">
        <f t="shared" si="0"/>
        <v>42799</v>
      </c>
      <c r="K34" s="51">
        <f t="shared" si="0"/>
        <v>45279</v>
      </c>
    </row>
    <row r="40" spans="1:11" ht="15" customHeight="1" x14ac:dyDescent="0.2">
      <c r="A40" s="53" t="s">
        <v>837</v>
      </c>
    </row>
    <row r="41" spans="1:11" s="270" customFormat="1" ht="15" customHeight="1" x14ac:dyDescent="0.2">
      <c r="A41" s="269" t="s">
        <v>828</v>
      </c>
      <c r="B41" s="61">
        <v>45382</v>
      </c>
      <c r="C41" s="61">
        <v>45473</v>
      </c>
      <c r="D41" s="61">
        <v>45565</v>
      </c>
      <c r="E41" s="61">
        <v>45657</v>
      </c>
      <c r="F41" s="61">
        <v>45747</v>
      </c>
      <c r="G41" s="61">
        <v>45838</v>
      </c>
      <c r="H41" s="61">
        <v>45930</v>
      </c>
      <c r="I41" s="61">
        <v>46022</v>
      </c>
      <c r="J41" s="61">
        <v>46112</v>
      </c>
      <c r="K41" s="61">
        <v>46203</v>
      </c>
    </row>
    <row r="42" spans="1:11" ht="15" customHeight="1" x14ac:dyDescent="0.2">
      <c r="A42" s="51" t="s">
        <v>175</v>
      </c>
      <c r="B42" s="51">
        <v>37923</v>
      </c>
      <c r="C42" s="51">
        <v>39315</v>
      </c>
      <c r="D42" s="51">
        <v>40986</v>
      </c>
      <c r="E42" s="51">
        <v>41764</v>
      </c>
      <c r="F42" s="51">
        <v>40925</v>
      </c>
      <c r="G42" s="51">
        <v>42279</v>
      </c>
      <c r="H42" s="51">
        <v>44490</v>
      </c>
      <c r="I42" s="51">
        <v>45479</v>
      </c>
      <c r="J42" s="51">
        <v>46402</v>
      </c>
      <c r="K42" s="51">
        <v>48211</v>
      </c>
    </row>
    <row r="43" spans="1:11" ht="15" customHeight="1" x14ac:dyDescent="0.2">
      <c r="A43" s="51" t="s">
        <v>257</v>
      </c>
      <c r="B43" s="51">
        <v>29139</v>
      </c>
      <c r="C43" s="51">
        <v>29878</v>
      </c>
      <c r="D43" s="51">
        <v>31177</v>
      </c>
      <c r="E43" s="51">
        <v>31649</v>
      </c>
      <c r="F43" s="51">
        <v>31051</v>
      </c>
      <c r="G43" s="51">
        <v>32336</v>
      </c>
      <c r="H43" s="51">
        <v>33955</v>
      </c>
      <c r="I43" s="51">
        <v>34845</v>
      </c>
      <c r="J43" s="51">
        <v>35235</v>
      </c>
      <c r="K43" s="51">
        <v>36802</v>
      </c>
    </row>
    <row r="44" spans="1:11" ht="15" customHeight="1" x14ac:dyDescent="0.2">
      <c r="A44" s="51" t="s">
        <v>259</v>
      </c>
      <c r="B44" s="51">
        <v>2729</v>
      </c>
      <c r="C44" s="51">
        <v>838</v>
      </c>
      <c r="D44" s="51">
        <v>712</v>
      </c>
      <c r="E44" s="51">
        <v>859</v>
      </c>
      <c r="F44" s="51">
        <v>1190</v>
      </c>
      <c r="G44" s="51">
        <v>1042</v>
      </c>
      <c r="H44" s="51">
        <v>982</v>
      </c>
      <c r="I44" s="51">
        <v>-150</v>
      </c>
      <c r="J44" s="51">
        <v>1159</v>
      </c>
      <c r="K44" s="51">
        <v>984</v>
      </c>
    </row>
    <row r="45" spans="1:11" ht="15" customHeight="1" x14ac:dyDescent="0.2">
      <c r="A45" s="51" t="s">
        <v>188</v>
      </c>
      <c r="B45" s="51">
        <v>1163</v>
      </c>
      <c r="C45" s="51">
        <v>1149</v>
      </c>
      <c r="D45" s="51">
        <v>1160</v>
      </c>
      <c r="E45" s="51">
        <v>1203</v>
      </c>
      <c r="F45" s="51">
        <v>1299</v>
      </c>
      <c r="G45" s="51">
        <v>1140</v>
      </c>
      <c r="H45" s="51">
        <v>1182</v>
      </c>
      <c r="I45" s="51">
        <v>1155</v>
      </c>
      <c r="J45" s="51">
        <v>1424</v>
      </c>
      <c r="K45" s="51">
        <v>1246</v>
      </c>
    </row>
    <row r="46" spans="1:11" ht="15" customHeight="1" x14ac:dyDescent="0.2">
      <c r="A46" s="51" t="s">
        <v>186</v>
      </c>
      <c r="B46" s="51">
        <v>110</v>
      </c>
      <c r="C46" s="51">
        <v>105</v>
      </c>
      <c r="D46" s="51">
        <v>108</v>
      </c>
      <c r="E46" s="51">
        <v>101</v>
      </c>
      <c r="F46" s="51">
        <v>102</v>
      </c>
      <c r="G46" s="51">
        <v>105</v>
      </c>
      <c r="H46" s="51">
        <v>106</v>
      </c>
      <c r="I46" s="51">
        <v>100</v>
      </c>
      <c r="J46" s="51">
        <v>105</v>
      </c>
      <c r="K46" s="51">
        <v>119</v>
      </c>
    </row>
    <row r="47" spans="1:11" ht="15" customHeight="1" x14ac:dyDescent="0.2">
      <c r="A47" s="51" t="s">
        <v>260</v>
      </c>
      <c r="B47" s="51">
        <v>10240</v>
      </c>
      <c r="C47" s="51">
        <v>9021</v>
      </c>
      <c r="D47" s="51">
        <v>9253</v>
      </c>
      <c r="E47" s="51">
        <v>9670</v>
      </c>
      <c r="F47" s="51">
        <v>9663</v>
      </c>
      <c r="G47" s="51">
        <v>9740</v>
      </c>
      <c r="H47" s="51">
        <v>10229</v>
      </c>
      <c r="I47" s="51">
        <v>9229</v>
      </c>
      <c r="J47" s="51">
        <v>10797</v>
      </c>
      <c r="K47" s="51">
        <v>11028</v>
      </c>
    </row>
    <row r="48" spans="1:11" ht="15" customHeight="1" x14ac:dyDescent="0.2">
      <c r="A48" s="51" t="s">
        <v>192</v>
      </c>
      <c r="B48" s="51">
        <v>2265</v>
      </c>
      <c r="C48" s="51">
        <v>2647</v>
      </c>
      <c r="D48" s="51">
        <v>2737</v>
      </c>
      <c r="E48" s="51">
        <v>2848</v>
      </c>
      <c r="F48" s="51">
        <v>2625</v>
      </c>
      <c r="G48" s="51">
        <v>2816</v>
      </c>
      <c r="H48" s="51">
        <v>2854</v>
      </c>
      <c r="I48" s="51">
        <v>2563</v>
      </c>
      <c r="J48" s="51">
        <v>2288</v>
      </c>
      <c r="K48" s="51">
        <v>3253</v>
      </c>
    </row>
    <row r="49" spans="1:11" ht="15" customHeight="1" x14ac:dyDescent="0.2">
      <c r="A49" s="51" t="s">
        <v>261</v>
      </c>
      <c r="B49" s="51">
        <v>7969</v>
      </c>
      <c r="C49" s="51">
        <v>6368</v>
      </c>
      <c r="D49" s="51">
        <v>6506</v>
      </c>
      <c r="E49" s="51">
        <v>6806</v>
      </c>
      <c r="F49" s="51">
        <v>7033</v>
      </c>
      <c r="G49" s="51">
        <v>6921</v>
      </c>
      <c r="H49" s="51">
        <v>7364</v>
      </c>
      <c r="I49" s="51">
        <v>6654</v>
      </c>
      <c r="J49" s="51">
        <v>8501</v>
      </c>
      <c r="K49" s="51">
        <v>7769</v>
      </c>
    </row>
    <row r="50" spans="1:11" ht="15" customHeight="1" x14ac:dyDescent="0.2">
      <c r="A50" s="51" t="s">
        <v>258</v>
      </c>
      <c r="B50" s="51">
        <v>8784</v>
      </c>
      <c r="C50" s="51">
        <v>9437</v>
      </c>
      <c r="D50" s="51">
        <v>9809</v>
      </c>
      <c r="E50" s="51">
        <v>10115</v>
      </c>
      <c r="F50" s="51">
        <v>9874</v>
      </c>
      <c r="G50" s="51">
        <v>9943</v>
      </c>
      <c r="H50" s="51">
        <v>10535</v>
      </c>
      <c r="I50" s="51">
        <v>10634</v>
      </c>
      <c r="J50" s="51">
        <v>11167</v>
      </c>
      <c r="K50" s="51">
        <v>11409</v>
      </c>
    </row>
    <row r="51" spans="1:11" ht="15" customHeight="1" x14ac:dyDescent="0.2">
      <c r="A51" s="271" t="s">
        <v>184</v>
      </c>
      <c r="B51" s="51">
        <f t="shared" ref="B51:K51" si="1">B49+B48+B46+B45</f>
        <v>11507</v>
      </c>
      <c r="C51" s="51">
        <f t="shared" si="1"/>
        <v>10269</v>
      </c>
      <c r="D51" s="51">
        <f t="shared" si="1"/>
        <v>10511</v>
      </c>
      <c r="E51" s="51">
        <f t="shared" si="1"/>
        <v>10958</v>
      </c>
      <c r="F51" s="51">
        <f t="shared" si="1"/>
        <v>11059</v>
      </c>
      <c r="G51" s="51">
        <f t="shared" si="1"/>
        <v>10982</v>
      </c>
      <c r="H51" s="51">
        <f t="shared" si="1"/>
        <v>11506</v>
      </c>
      <c r="I51" s="51">
        <f t="shared" si="1"/>
        <v>10472</v>
      </c>
      <c r="J51" s="51">
        <f t="shared" si="1"/>
        <v>12318</v>
      </c>
      <c r="K51" s="51">
        <f t="shared" si="1"/>
        <v>12387</v>
      </c>
    </row>
    <row r="55" spans="1:11" ht="15" customHeight="1" x14ac:dyDescent="0.2">
      <c r="A55" s="53" t="s">
        <v>838</v>
      </c>
    </row>
    <row r="56" spans="1:11" s="270" customFormat="1" ht="15" customHeight="1" x14ac:dyDescent="0.2">
      <c r="A56" s="269" t="s">
        <v>828</v>
      </c>
      <c r="B56" s="61">
        <v>42825</v>
      </c>
      <c r="C56" s="61">
        <v>43190</v>
      </c>
      <c r="D56" s="61">
        <v>43555</v>
      </c>
      <c r="E56" s="61">
        <v>43921</v>
      </c>
      <c r="F56" s="61">
        <v>44286</v>
      </c>
      <c r="G56" s="61">
        <v>44651</v>
      </c>
      <c r="H56" s="61">
        <v>45016</v>
      </c>
      <c r="I56" s="61">
        <v>45382</v>
      </c>
      <c r="J56" s="61">
        <v>45747</v>
      </c>
      <c r="K56" s="61">
        <v>46112</v>
      </c>
    </row>
    <row r="57" spans="1:11" ht="15" customHeight="1" x14ac:dyDescent="0.2">
      <c r="A57" s="51" t="s">
        <v>203</v>
      </c>
      <c r="B57" s="51">
        <v>1144</v>
      </c>
      <c r="C57" s="51">
        <v>1088</v>
      </c>
      <c r="D57" s="51">
        <v>2170</v>
      </c>
      <c r="E57" s="51">
        <v>2122</v>
      </c>
      <c r="F57" s="51">
        <v>2124</v>
      </c>
      <c r="G57" s="51">
        <v>2098</v>
      </c>
      <c r="H57" s="51">
        <v>2069</v>
      </c>
      <c r="I57" s="51">
        <v>2071</v>
      </c>
      <c r="J57" s="51">
        <v>2073</v>
      </c>
      <c r="K57" s="51">
        <v>2024</v>
      </c>
    </row>
    <row r="58" spans="1:11" ht="15" customHeight="1" x14ac:dyDescent="0.2">
      <c r="A58" s="51" t="s">
        <v>204</v>
      </c>
      <c r="B58" s="51">
        <v>67838</v>
      </c>
      <c r="C58" s="51">
        <v>63835</v>
      </c>
      <c r="D58" s="51">
        <v>62778</v>
      </c>
      <c r="E58" s="51">
        <v>63328</v>
      </c>
      <c r="F58" s="51">
        <v>74227</v>
      </c>
      <c r="G58" s="51">
        <v>73252</v>
      </c>
      <c r="H58" s="51">
        <v>73338</v>
      </c>
      <c r="I58" s="51">
        <v>86045</v>
      </c>
      <c r="J58" s="51">
        <v>93745</v>
      </c>
      <c r="K58" s="51">
        <v>90828</v>
      </c>
    </row>
    <row r="59" spans="1:11" ht="15" customHeight="1" x14ac:dyDescent="0.2">
      <c r="A59" s="51" t="s">
        <v>205</v>
      </c>
      <c r="E59" s="51">
        <v>4633</v>
      </c>
      <c r="F59" s="51">
        <v>5325</v>
      </c>
      <c r="G59" s="51">
        <v>5474</v>
      </c>
      <c r="H59" s="51">
        <v>8299</v>
      </c>
      <c r="I59" s="51">
        <v>8359</v>
      </c>
      <c r="J59" s="51">
        <v>8227</v>
      </c>
      <c r="K59" s="51">
        <v>9176</v>
      </c>
    </row>
    <row r="60" spans="1:11" ht="15" customHeight="1" x14ac:dyDescent="0.2">
      <c r="A60" s="51" t="s">
        <v>206</v>
      </c>
      <c r="B60" s="51">
        <v>14166</v>
      </c>
      <c r="C60" s="51">
        <v>14426</v>
      </c>
      <c r="D60" s="51">
        <v>19118</v>
      </c>
      <c r="E60" s="51">
        <v>21717</v>
      </c>
      <c r="F60" s="51">
        <v>25835</v>
      </c>
      <c r="G60" s="51">
        <v>35905</v>
      </c>
      <c r="H60" s="51">
        <v>40890</v>
      </c>
      <c r="I60" s="51">
        <v>39545</v>
      </c>
      <c r="J60" s="51">
        <v>43750</v>
      </c>
      <c r="K60" s="51">
        <v>52260</v>
      </c>
    </row>
    <row r="61" spans="1:11" s="53" customFormat="1" ht="15" customHeight="1" x14ac:dyDescent="0.2">
      <c r="A61" s="53" t="s">
        <v>276</v>
      </c>
      <c r="B61" s="53">
        <v>83148</v>
      </c>
      <c r="C61" s="53">
        <v>79349</v>
      </c>
      <c r="D61" s="53">
        <v>84066</v>
      </c>
      <c r="E61" s="53">
        <v>91800</v>
      </c>
      <c r="F61" s="53">
        <v>107511</v>
      </c>
      <c r="G61" s="53">
        <v>116729</v>
      </c>
      <c r="H61" s="53">
        <v>124596</v>
      </c>
      <c r="I61" s="53">
        <v>136020</v>
      </c>
      <c r="J61" s="53">
        <v>147795</v>
      </c>
      <c r="K61" s="53">
        <v>154288</v>
      </c>
    </row>
    <row r="62" spans="1:11" ht="15" customHeight="1" x14ac:dyDescent="0.2">
      <c r="A62" s="51" t="s">
        <v>277</v>
      </c>
      <c r="B62" s="51">
        <v>14179</v>
      </c>
      <c r="C62" s="51">
        <v>12574</v>
      </c>
      <c r="D62" s="51">
        <v>15710</v>
      </c>
      <c r="E62" s="51">
        <v>23789</v>
      </c>
      <c r="F62" s="51">
        <v>25505</v>
      </c>
      <c r="G62" s="51">
        <v>25800</v>
      </c>
      <c r="H62" s="51">
        <v>29225</v>
      </c>
      <c r="I62" s="51">
        <v>27622</v>
      </c>
      <c r="J62" s="51">
        <v>30961</v>
      </c>
      <c r="K62" s="51">
        <v>33770</v>
      </c>
    </row>
    <row r="63" spans="1:11" ht="15" customHeight="1" x14ac:dyDescent="0.2">
      <c r="A63" s="51" t="s">
        <v>209</v>
      </c>
      <c r="B63" s="51">
        <v>1365</v>
      </c>
      <c r="C63" s="51">
        <v>1606</v>
      </c>
      <c r="D63" s="51">
        <v>1388</v>
      </c>
      <c r="E63" s="51">
        <v>954</v>
      </c>
      <c r="F63" s="51">
        <v>922</v>
      </c>
      <c r="G63" s="51">
        <v>416</v>
      </c>
      <c r="H63" s="51">
        <v>288</v>
      </c>
      <c r="I63" s="51">
        <v>293</v>
      </c>
      <c r="J63" s="51">
        <v>814</v>
      </c>
      <c r="K63" s="51">
        <v>526</v>
      </c>
    </row>
    <row r="64" spans="1:11" ht="15" customHeight="1" x14ac:dyDescent="0.2">
      <c r="A64" s="51" t="s">
        <v>210</v>
      </c>
      <c r="B64" s="51">
        <v>16423</v>
      </c>
      <c r="C64" s="51">
        <v>12163</v>
      </c>
      <c r="D64" s="51">
        <v>11261</v>
      </c>
      <c r="E64" s="51">
        <v>8792</v>
      </c>
      <c r="F64" s="51">
        <v>14205</v>
      </c>
      <c r="G64" s="51">
        <v>20324</v>
      </c>
      <c r="H64" s="51">
        <v>19478</v>
      </c>
      <c r="I64" s="51">
        <v>24623</v>
      </c>
      <c r="J64" s="51">
        <v>23541</v>
      </c>
      <c r="K64" s="51">
        <v>21880</v>
      </c>
    </row>
    <row r="65" spans="1:11" ht="15" customHeight="1" x14ac:dyDescent="0.2">
      <c r="A65" s="51" t="s">
        <v>211</v>
      </c>
      <c r="B65" s="51">
        <v>51181</v>
      </c>
      <c r="C65" s="51">
        <v>53006</v>
      </c>
      <c r="D65" s="51">
        <v>55707</v>
      </c>
      <c r="E65" s="51">
        <v>58265</v>
      </c>
      <c r="F65" s="51">
        <v>66879</v>
      </c>
      <c r="G65" s="51">
        <v>70189</v>
      </c>
      <c r="H65" s="51">
        <v>75605</v>
      </c>
      <c r="I65" s="51">
        <v>83482</v>
      </c>
      <c r="J65" s="51">
        <v>92479</v>
      </c>
      <c r="K65" s="51">
        <v>98112</v>
      </c>
    </row>
    <row r="66" spans="1:11" s="53" customFormat="1" ht="15" customHeight="1" x14ac:dyDescent="0.2">
      <c r="A66" s="53" t="s">
        <v>276</v>
      </c>
      <c r="B66" s="53">
        <v>83148</v>
      </c>
      <c r="C66" s="53">
        <v>79349</v>
      </c>
      <c r="D66" s="53">
        <v>84066</v>
      </c>
      <c r="E66" s="53">
        <v>91800</v>
      </c>
      <c r="F66" s="53">
        <v>107511</v>
      </c>
      <c r="G66" s="53">
        <v>116729</v>
      </c>
      <c r="H66" s="53">
        <v>124596</v>
      </c>
      <c r="I66" s="53">
        <v>136020</v>
      </c>
      <c r="J66" s="53">
        <v>147795</v>
      </c>
      <c r="K66" s="53">
        <v>154288</v>
      </c>
    </row>
    <row r="67" spans="1:11" ht="15" customHeight="1" x14ac:dyDescent="0.2">
      <c r="A67" s="51" t="s">
        <v>213</v>
      </c>
      <c r="B67" s="51">
        <v>12322</v>
      </c>
      <c r="C67" s="51">
        <v>13142</v>
      </c>
      <c r="D67" s="51">
        <v>14827</v>
      </c>
      <c r="E67" s="51">
        <v>18487</v>
      </c>
      <c r="F67" s="51">
        <v>19294</v>
      </c>
      <c r="G67" s="51">
        <v>22698</v>
      </c>
      <c r="H67" s="51">
        <v>25424</v>
      </c>
      <c r="I67" s="51">
        <v>30193</v>
      </c>
      <c r="J67" s="51">
        <v>31158</v>
      </c>
      <c r="K67" s="51">
        <v>35234</v>
      </c>
    </row>
    <row r="68" spans="1:11" ht="15" customHeight="1" x14ac:dyDescent="0.2">
      <c r="A68" s="51" t="s">
        <v>214</v>
      </c>
    </row>
    <row r="69" spans="1:11" ht="15" customHeight="1" x14ac:dyDescent="0.2">
      <c r="A69" s="51" t="s">
        <v>215</v>
      </c>
      <c r="B69" s="51">
        <v>22625</v>
      </c>
      <c r="C69" s="51">
        <v>19818</v>
      </c>
      <c r="D69" s="51">
        <v>19568</v>
      </c>
      <c r="E69" s="51">
        <v>18649</v>
      </c>
      <c r="F69" s="51">
        <v>24714</v>
      </c>
      <c r="G69" s="51">
        <v>17472</v>
      </c>
      <c r="H69" s="51">
        <v>12173</v>
      </c>
      <c r="I69" s="51">
        <v>14786</v>
      </c>
      <c r="J69" s="51">
        <v>24455</v>
      </c>
      <c r="K69" s="51">
        <v>22201</v>
      </c>
    </row>
    <row r="70" spans="1:11" ht="15" customHeight="1" x14ac:dyDescent="0.2">
      <c r="A70" s="51" t="s">
        <v>839</v>
      </c>
      <c r="B70" s="51">
        <v>2285655150</v>
      </c>
      <c r="C70" s="51">
        <v>2173312301</v>
      </c>
      <c r="D70" s="51">
        <v>4335954462</v>
      </c>
      <c r="E70" s="51">
        <v>4240753210</v>
      </c>
      <c r="F70" s="51">
        <v>4245146114</v>
      </c>
      <c r="G70" s="51">
        <v>4193012929</v>
      </c>
      <c r="H70" s="51">
        <v>4136387925</v>
      </c>
      <c r="I70" s="51">
        <v>4139950635</v>
      </c>
      <c r="J70" s="51">
        <v>4143607528</v>
      </c>
      <c r="K70" s="51">
        <v>4046940812</v>
      </c>
    </row>
    <row r="71" spans="1:11" ht="15" customHeight="1" x14ac:dyDescent="0.2">
      <c r="A71" s="51" t="s">
        <v>840</v>
      </c>
      <c r="D71" s="51">
        <v>2184191490</v>
      </c>
    </row>
    <row r="72" spans="1:11" ht="15" customHeight="1" x14ac:dyDescent="0.2">
      <c r="A72" s="51" t="s">
        <v>841</v>
      </c>
      <c r="B72" s="51">
        <v>5</v>
      </c>
      <c r="C72" s="51">
        <v>5</v>
      </c>
      <c r="D72" s="51">
        <v>5</v>
      </c>
      <c r="E72" s="51">
        <v>5</v>
      </c>
      <c r="F72" s="51">
        <v>5</v>
      </c>
      <c r="G72" s="51">
        <v>5</v>
      </c>
      <c r="H72" s="51">
        <v>5</v>
      </c>
      <c r="I72" s="51">
        <v>5</v>
      </c>
      <c r="J72" s="51">
        <v>5</v>
      </c>
      <c r="K72" s="51">
        <v>5</v>
      </c>
    </row>
    <row r="74" spans="1:11" ht="15" customHeight="1" x14ac:dyDescent="0.2">
      <c r="A74" s="271" t="s">
        <v>842</v>
      </c>
      <c r="B74" s="51">
        <f t="shared" ref="B74:K74" si="2">B65-SUM(B67:B69)</f>
        <v>16234</v>
      </c>
      <c r="C74" s="51">
        <f t="shared" si="2"/>
        <v>20046</v>
      </c>
      <c r="D74" s="51">
        <f t="shared" si="2"/>
        <v>21312</v>
      </c>
      <c r="E74" s="51">
        <f t="shared" si="2"/>
        <v>21129</v>
      </c>
      <c r="F74" s="51">
        <f t="shared" si="2"/>
        <v>22871</v>
      </c>
      <c r="G74" s="51">
        <f t="shared" si="2"/>
        <v>30019</v>
      </c>
      <c r="H74" s="51">
        <f t="shared" si="2"/>
        <v>38008</v>
      </c>
      <c r="I74" s="51">
        <f t="shared" si="2"/>
        <v>38503</v>
      </c>
      <c r="J74" s="51">
        <f t="shared" si="2"/>
        <v>36866</v>
      </c>
      <c r="K74" s="51">
        <f t="shared" si="2"/>
        <v>40677</v>
      </c>
    </row>
    <row r="76" spans="1:11" ht="15" customHeight="1" x14ac:dyDescent="0.2">
      <c r="A76" s="271" t="s">
        <v>338</v>
      </c>
      <c r="B76" s="51">
        <f t="shared" ref="B76:K76" si="3">B66</f>
        <v>83148</v>
      </c>
      <c r="C76" s="51">
        <f t="shared" si="3"/>
        <v>79349</v>
      </c>
      <c r="D76" s="51">
        <f t="shared" si="3"/>
        <v>84066</v>
      </c>
      <c r="E76" s="51">
        <f t="shared" si="3"/>
        <v>91800</v>
      </c>
      <c r="F76" s="51">
        <f t="shared" si="3"/>
        <v>107511</v>
      </c>
      <c r="G76" s="51">
        <f t="shared" si="3"/>
        <v>116729</v>
      </c>
      <c r="H76" s="51">
        <f t="shared" si="3"/>
        <v>124596</v>
      </c>
      <c r="I76" s="51">
        <f t="shared" si="3"/>
        <v>136020</v>
      </c>
      <c r="J76" s="51">
        <f t="shared" si="3"/>
        <v>147795</v>
      </c>
      <c r="K76" s="51">
        <f t="shared" si="3"/>
        <v>154288</v>
      </c>
    </row>
    <row r="78" spans="1:11" ht="15" customHeight="1" x14ac:dyDescent="0.2">
      <c r="A78" s="271" t="s">
        <v>843</v>
      </c>
      <c r="B78" s="51">
        <v>52882</v>
      </c>
      <c r="C78" s="51">
        <v>58477</v>
      </c>
      <c r="D78" s="51">
        <v>57566</v>
      </c>
      <c r="E78" s="51">
        <v>56309</v>
      </c>
      <c r="F78" s="51">
        <v>62643</v>
      </c>
      <c r="G78" s="51">
        <v>61313</v>
      </c>
      <c r="H78" s="51">
        <v>58957</v>
      </c>
      <c r="I78" s="51">
        <v>68405</v>
      </c>
      <c r="J78" s="51">
        <v>78627</v>
      </c>
      <c r="K78" s="51">
        <v>76503</v>
      </c>
    </row>
    <row r="80" spans="1:11" ht="15" customHeight="1" x14ac:dyDescent="0.2">
      <c r="A80" s="53" t="s">
        <v>844</v>
      </c>
    </row>
    <row r="81" spans="1:11" s="270" customFormat="1" ht="15" customHeight="1" x14ac:dyDescent="0.2">
      <c r="A81" s="269" t="s">
        <v>828</v>
      </c>
      <c r="B81" s="61">
        <v>42825</v>
      </c>
      <c r="C81" s="61">
        <v>43190</v>
      </c>
      <c r="D81" s="61">
        <v>43555</v>
      </c>
      <c r="E81" s="61">
        <v>43921</v>
      </c>
      <c r="F81" s="61">
        <v>44286</v>
      </c>
      <c r="G81" s="61">
        <v>44651</v>
      </c>
      <c r="H81" s="61">
        <v>45016</v>
      </c>
      <c r="I81" s="61">
        <v>45382</v>
      </c>
      <c r="J81" s="61">
        <v>45747</v>
      </c>
      <c r="K81" s="61">
        <v>46112</v>
      </c>
    </row>
    <row r="82" spans="1:11" s="53" customFormat="1" ht="15" customHeight="1" x14ac:dyDescent="0.2">
      <c r="A82" s="51" t="s">
        <v>248</v>
      </c>
      <c r="B82" s="53">
        <v>11531</v>
      </c>
      <c r="C82" s="53">
        <v>13218</v>
      </c>
      <c r="D82" s="53">
        <v>14841</v>
      </c>
      <c r="E82" s="53">
        <v>17003</v>
      </c>
      <c r="F82" s="53">
        <v>23224</v>
      </c>
      <c r="G82" s="53">
        <v>23885</v>
      </c>
      <c r="H82" s="53">
        <v>22467</v>
      </c>
      <c r="I82" s="53">
        <v>25210</v>
      </c>
      <c r="J82" s="53">
        <v>35694</v>
      </c>
      <c r="K82" s="53">
        <v>33986</v>
      </c>
    </row>
    <row r="83" spans="1:11" ht="15" customHeight="1" x14ac:dyDescent="0.2">
      <c r="A83" s="51" t="s">
        <v>249</v>
      </c>
      <c r="B83" s="51">
        <v>-14664</v>
      </c>
      <c r="C83" s="51">
        <v>4533</v>
      </c>
      <c r="D83" s="51">
        <v>-632</v>
      </c>
      <c r="E83" s="51">
        <v>-331</v>
      </c>
      <c r="F83" s="51">
        <v>-7373</v>
      </c>
      <c r="G83" s="51">
        <v>-6485</v>
      </c>
      <c r="H83" s="51">
        <v>-1071</v>
      </c>
      <c r="I83" s="51">
        <v>-5093</v>
      </c>
      <c r="J83" s="51">
        <v>-1864</v>
      </c>
      <c r="K83" s="51">
        <v>3546</v>
      </c>
    </row>
    <row r="84" spans="1:11" ht="15" customHeight="1" x14ac:dyDescent="0.2">
      <c r="A84" s="51" t="s">
        <v>250</v>
      </c>
      <c r="B84" s="51">
        <v>-6939</v>
      </c>
      <c r="C84" s="51">
        <v>-20505</v>
      </c>
      <c r="D84" s="51">
        <v>-14512</v>
      </c>
      <c r="E84" s="51">
        <v>-17591</v>
      </c>
      <c r="F84" s="51">
        <v>-9786</v>
      </c>
      <c r="G84" s="51">
        <v>-24642</v>
      </c>
      <c r="H84" s="51">
        <v>-26695</v>
      </c>
      <c r="I84" s="51">
        <v>-17504</v>
      </c>
      <c r="J84" s="51">
        <v>-24161</v>
      </c>
      <c r="K84" s="51">
        <v>-39786</v>
      </c>
    </row>
    <row r="85" spans="1:11" s="53" customFormat="1" ht="15" customHeight="1" x14ac:dyDescent="0.2">
      <c r="A85" s="51" t="s">
        <v>247</v>
      </c>
      <c r="B85" s="53">
        <v>-10072</v>
      </c>
      <c r="C85" s="53">
        <v>-2754</v>
      </c>
      <c r="D85" s="53">
        <v>-303</v>
      </c>
      <c r="E85" s="53">
        <v>-919</v>
      </c>
      <c r="F85" s="53">
        <v>6065</v>
      </c>
      <c r="G85" s="53">
        <v>-7242</v>
      </c>
      <c r="H85" s="53">
        <v>-5299</v>
      </c>
      <c r="I85" s="53">
        <v>2613</v>
      </c>
      <c r="J85" s="53">
        <v>9669</v>
      </c>
      <c r="K85" s="53">
        <v>-2254</v>
      </c>
    </row>
    <row r="90" spans="1:11" s="53" customFormat="1" ht="15" customHeight="1" x14ac:dyDescent="0.2">
      <c r="A90" s="53" t="s">
        <v>845</v>
      </c>
      <c r="B90" s="53">
        <v>511.13</v>
      </c>
      <c r="C90" s="53">
        <v>565.9</v>
      </c>
      <c r="D90" s="53">
        <v>743.85</v>
      </c>
      <c r="E90" s="53">
        <v>641.5</v>
      </c>
      <c r="F90" s="53">
        <v>1368.05</v>
      </c>
      <c r="G90" s="53">
        <v>1906.85</v>
      </c>
      <c r="H90" s="53">
        <v>1427.95</v>
      </c>
      <c r="I90" s="53">
        <v>1498.05</v>
      </c>
      <c r="J90" s="53">
        <v>1570.65</v>
      </c>
      <c r="K90" s="53">
        <v>1250.5999999999999</v>
      </c>
    </row>
    <row r="92" spans="1:11" s="53" customFormat="1" ht="15" customHeight="1" x14ac:dyDescent="0.2">
      <c r="A92" s="53" t="s">
        <v>846</v>
      </c>
    </row>
    <row r="93" spans="1:11" ht="15" customHeight="1" x14ac:dyDescent="0.2">
      <c r="A93" s="51" t="s">
        <v>847</v>
      </c>
      <c r="B93" s="49">
        <v>459.39</v>
      </c>
      <c r="C93" s="49">
        <v>436.82</v>
      </c>
      <c r="D93" s="49">
        <v>436.89</v>
      </c>
      <c r="E93" s="49">
        <v>425.9</v>
      </c>
      <c r="F93" s="49">
        <v>426.07</v>
      </c>
      <c r="G93" s="49">
        <v>420.67</v>
      </c>
      <c r="H93" s="49">
        <v>414.86</v>
      </c>
      <c r="I93" s="49">
        <v>415.09</v>
      </c>
      <c r="J93" s="49">
        <v>415.33</v>
      </c>
      <c r="K93" s="49">
        <v>405.56</v>
      </c>
    </row>
  </sheetData>
  <mergeCells count="1">
    <mergeCell ref="E2:K2"/>
  </mergeCells>
  <conditionalFormatting sqref="E1:K1">
    <cfRule type="cellIs" dxfId="0" priority="2" operator="notEqual">
      <formula>""</formula>
    </cfRule>
  </conditionalFormatting>
  <pageMargins left="0.7" right="0.7" top="0.75" bottom="0.75"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808080"/>
  </sheetPr>
  <dimension ref="B2:Q47"/>
  <sheetViews>
    <sheetView topLeftCell="C1" zoomScale="90" zoomScaleNormal="90" workbookViewId="0">
      <selection activeCell="J3" sqref="J3"/>
    </sheetView>
  </sheetViews>
  <sheetFormatPr baseColWidth="10" defaultColWidth="10.6640625" defaultRowHeight="15" x14ac:dyDescent="0.2"/>
  <cols>
    <col min="1" max="1" width="2.33203125" customWidth="1"/>
    <col min="5" max="5" width="17" customWidth="1"/>
    <col min="8" max="8" width="16" customWidth="1"/>
    <col min="9" max="10" width="13.1640625" customWidth="1"/>
    <col min="12" max="12" width="14.33203125" customWidth="1"/>
    <col min="13" max="13" width="13.33203125" customWidth="1"/>
    <col min="14" max="15" width="12.83203125" customWidth="1"/>
  </cols>
  <sheetData>
    <row r="2" spans="2:15" ht="15" customHeight="1" x14ac:dyDescent="0.2">
      <c r="B2" t="s">
        <v>678</v>
      </c>
      <c r="C2" t="s">
        <v>679</v>
      </c>
      <c r="D2" t="s">
        <v>680</v>
      </c>
      <c r="E2" t="s">
        <v>681</v>
      </c>
      <c r="F2" t="s">
        <v>848</v>
      </c>
      <c r="G2" t="s">
        <v>682</v>
      </c>
      <c r="H2" t="s">
        <v>683</v>
      </c>
      <c r="I2" t="s">
        <v>791</v>
      </c>
      <c r="J2" t="s">
        <v>849</v>
      </c>
      <c r="K2" t="s">
        <v>685</v>
      </c>
      <c r="L2" t="s">
        <v>686</v>
      </c>
      <c r="M2" t="s">
        <v>687</v>
      </c>
      <c r="N2" t="s">
        <v>688</v>
      </c>
      <c r="O2" t="s">
        <v>184</v>
      </c>
    </row>
    <row r="3" spans="2:15" ht="15" customHeight="1" x14ac:dyDescent="0.2">
      <c r="B3">
        <v>1</v>
      </c>
      <c r="C3" t="s">
        <v>588</v>
      </c>
      <c r="D3" s="176">
        <v>1121</v>
      </c>
      <c r="E3" s="176">
        <v>405.81</v>
      </c>
      <c r="F3" s="176">
        <f t="shared" ref="F3:F9" si="0">E3*D3</f>
        <v>454913.01</v>
      </c>
      <c r="G3" s="177">
        <f>'Data Sheet'!$K$59</f>
        <v>9176</v>
      </c>
      <c r="H3" s="176">
        <v>22201</v>
      </c>
      <c r="I3" s="176">
        <f t="shared" ref="I3:I12" si="1">G3-H3</f>
        <v>-13025</v>
      </c>
      <c r="J3">
        <f>F3+I3</f>
        <v>441888.01</v>
      </c>
      <c r="K3">
        <v>184582</v>
      </c>
      <c r="L3">
        <v>30325</v>
      </c>
      <c r="M3">
        <v>43002</v>
      </c>
      <c r="N3">
        <v>5007</v>
      </c>
      <c r="O3">
        <f t="shared" ref="O3:O12" si="2">M3+N3</f>
        <v>48009</v>
      </c>
    </row>
    <row r="4" spans="2:15" ht="15" customHeight="1" x14ac:dyDescent="0.2">
      <c r="B4">
        <v>2</v>
      </c>
      <c r="C4" t="s">
        <v>590</v>
      </c>
      <c r="D4" s="176">
        <v>2302</v>
      </c>
      <c r="E4" s="176">
        <v>361.81</v>
      </c>
      <c r="F4" s="176">
        <f t="shared" si="0"/>
        <v>832886.62</v>
      </c>
      <c r="G4" s="176">
        <v>11283</v>
      </c>
      <c r="H4" s="176">
        <v>12908</v>
      </c>
      <c r="I4" s="176">
        <f t="shared" si="1"/>
        <v>-1625</v>
      </c>
      <c r="J4">
        <v>831258.75</v>
      </c>
      <c r="K4">
        <v>275859</v>
      </c>
      <c r="L4">
        <v>50055</v>
      </c>
      <c r="M4">
        <v>72951</v>
      </c>
      <c r="N4">
        <v>5438</v>
      </c>
      <c r="O4">
        <f t="shared" si="2"/>
        <v>78389</v>
      </c>
    </row>
    <row r="5" spans="2:15" ht="15" customHeight="1" x14ac:dyDescent="0.2">
      <c r="B5">
        <v>3</v>
      </c>
      <c r="C5" t="s">
        <v>591</v>
      </c>
      <c r="D5" s="176">
        <v>1302.5</v>
      </c>
      <c r="E5" s="176">
        <v>271.37</v>
      </c>
      <c r="F5" s="176">
        <f t="shared" si="0"/>
        <v>353459.42499999999</v>
      </c>
      <c r="G5" s="176">
        <v>5215</v>
      </c>
      <c r="H5" s="176">
        <v>23425</v>
      </c>
      <c r="I5" s="176">
        <f t="shared" si="1"/>
        <v>-18210</v>
      </c>
      <c r="J5">
        <v>335244.88</v>
      </c>
      <c r="K5">
        <v>134374</v>
      </c>
      <c r="L5">
        <v>17434</v>
      </c>
      <c r="M5">
        <v>24721</v>
      </c>
      <c r="N5">
        <v>4301</v>
      </c>
      <c r="O5">
        <f t="shared" si="2"/>
        <v>29022</v>
      </c>
    </row>
    <row r="6" spans="2:15" ht="15" customHeight="1" x14ac:dyDescent="0.2">
      <c r="B6">
        <v>4</v>
      </c>
      <c r="C6" t="s">
        <v>592</v>
      </c>
      <c r="D6" s="176">
        <v>180.79</v>
      </c>
      <c r="E6" s="176">
        <v>990.45</v>
      </c>
      <c r="F6" s="176">
        <f t="shared" si="0"/>
        <v>179063.45550000001</v>
      </c>
      <c r="G6" s="176">
        <v>20291</v>
      </c>
      <c r="H6" s="176">
        <v>10555.5</v>
      </c>
      <c r="I6" s="176">
        <f t="shared" si="1"/>
        <v>9735.5</v>
      </c>
      <c r="J6">
        <v>188799.63</v>
      </c>
      <c r="K6">
        <v>94968</v>
      </c>
      <c r="L6">
        <v>13285.3</v>
      </c>
      <c r="M6">
        <v>18988.099999999999</v>
      </c>
      <c r="N6">
        <v>3029.6</v>
      </c>
      <c r="O6">
        <f t="shared" si="2"/>
        <v>22017.699999999997</v>
      </c>
    </row>
    <row r="7" spans="2:15" ht="15" customHeight="1" x14ac:dyDescent="0.2">
      <c r="B7">
        <v>5</v>
      </c>
      <c r="C7" t="s">
        <v>593</v>
      </c>
      <c r="D7" s="176">
        <v>1584</v>
      </c>
      <c r="E7" s="176">
        <v>98.01</v>
      </c>
      <c r="F7" s="176">
        <f t="shared" si="0"/>
        <v>155247.84</v>
      </c>
      <c r="G7" s="176">
        <v>2186.1999999999998</v>
      </c>
      <c r="H7" s="176">
        <v>5105.3999999999996</v>
      </c>
      <c r="I7" s="176">
        <f t="shared" si="1"/>
        <v>-2919.2</v>
      </c>
      <c r="J7">
        <v>152326.23000000001</v>
      </c>
      <c r="K7">
        <v>59176.1</v>
      </c>
      <c r="L7">
        <v>5163</v>
      </c>
      <c r="M7">
        <v>7640.2</v>
      </c>
      <c r="N7">
        <v>1902.1</v>
      </c>
      <c r="O7">
        <f t="shared" si="2"/>
        <v>9542.2999999999993</v>
      </c>
    </row>
    <row r="8" spans="2:15" ht="15" customHeight="1" x14ac:dyDescent="0.2">
      <c r="B8">
        <v>6</v>
      </c>
      <c r="C8" t="s">
        <v>172</v>
      </c>
      <c r="D8" s="176">
        <v>4487.8</v>
      </c>
      <c r="E8" s="176">
        <v>29.66</v>
      </c>
      <c r="F8" s="176">
        <f t="shared" si="0"/>
        <v>133108.14800000002</v>
      </c>
      <c r="G8" s="176">
        <v>2310</v>
      </c>
      <c r="H8" s="176">
        <v>2812.4</v>
      </c>
      <c r="I8" s="176">
        <f t="shared" si="1"/>
        <v>-502.40000000000009</v>
      </c>
      <c r="J8">
        <v>132615.32</v>
      </c>
      <c r="K8">
        <v>44075</v>
      </c>
      <c r="L8">
        <v>5196.7</v>
      </c>
      <c r="M8">
        <v>7851.6</v>
      </c>
      <c r="N8">
        <v>1072.5</v>
      </c>
      <c r="O8">
        <f t="shared" si="2"/>
        <v>8924.1</v>
      </c>
    </row>
    <row r="9" spans="2:15" ht="15" customHeight="1" x14ac:dyDescent="0.2">
      <c r="B9">
        <v>7</v>
      </c>
      <c r="C9" t="s">
        <v>690</v>
      </c>
      <c r="D9">
        <v>5667.5</v>
      </c>
      <c r="E9">
        <v>15.78</v>
      </c>
      <c r="F9" s="176">
        <f t="shared" si="0"/>
        <v>89433.15</v>
      </c>
      <c r="G9">
        <v>477.45</v>
      </c>
      <c r="H9">
        <v>1218.25</v>
      </c>
      <c r="I9" s="176">
        <f t="shared" si="1"/>
        <v>-740.8</v>
      </c>
      <c r="J9">
        <v>88664.01</v>
      </c>
      <c r="K9">
        <v>15718.1</v>
      </c>
      <c r="L9">
        <v>1923.22</v>
      </c>
      <c r="M9">
        <v>2652.69</v>
      </c>
      <c r="N9">
        <v>424.46</v>
      </c>
      <c r="O9">
        <f t="shared" si="2"/>
        <v>3077.15</v>
      </c>
    </row>
    <row r="10" spans="2:15" ht="15" customHeight="1" x14ac:dyDescent="0.2">
      <c r="B10">
        <v>8</v>
      </c>
      <c r="C10" t="s">
        <v>850</v>
      </c>
      <c r="D10">
        <v>1891.7</v>
      </c>
      <c r="E10">
        <v>44.29</v>
      </c>
      <c r="F10">
        <f>D10*E10</f>
        <v>83783.392999999996</v>
      </c>
      <c r="G10">
        <v>727.8</v>
      </c>
      <c r="H10">
        <v>1099.2</v>
      </c>
      <c r="I10">
        <f t="shared" si="1"/>
        <v>-371.40000000000009</v>
      </c>
      <c r="J10">
        <v>83415.87</v>
      </c>
      <c r="K10">
        <v>18195.400000000001</v>
      </c>
      <c r="L10">
        <v>1920</v>
      </c>
      <c r="M10">
        <v>2734.7</v>
      </c>
      <c r="N10">
        <v>763.8</v>
      </c>
      <c r="O10">
        <f t="shared" si="2"/>
        <v>3498.5</v>
      </c>
    </row>
    <row r="11" spans="2:15" ht="15" customHeight="1" x14ac:dyDescent="0.2">
      <c r="B11">
        <v>9</v>
      </c>
      <c r="C11" t="s">
        <v>851</v>
      </c>
      <c r="D11" s="148">
        <v>2430</v>
      </c>
      <c r="E11" s="148">
        <v>19.09</v>
      </c>
      <c r="F11">
        <f>D11*E11</f>
        <v>46388.7</v>
      </c>
      <c r="G11" s="148">
        <v>2619.6799999999998</v>
      </c>
      <c r="H11" s="148">
        <v>1752.71</v>
      </c>
      <c r="I11">
        <f t="shared" si="1"/>
        <v>866.9699999999998</v>
      </c>
      <c r="J11" s="148">
        <v>47249.85</v>
      </c>
      <c r="K11" s="148">
        <v>16531.21</v>
      </c>
      <c r="L11" s="148">
        <v>1910.41</v>
      </c>
      <c r="M11" s="148">
        <v>2828.22</v>
      </c>
      <c r="N11" s="148">
        <v>570.41</v>
      </c>
      <c r="O11">
        <f t="shared" si="2"/>
        <v>3398.6299999999997</v>
      </c>
    </row>
    <row r="12" spans="2:15" ht="15" customHeight="1" x14ac:dyDescent="0.2">
      <c r="B12">
        <v>10</v>
      </c>
      <c r="C12" t="s">
        <v>852</v>
      </c>
      <c r="D12" s="148">
        <v>532.45000000000005</v>
      </c>
      <c r="E12" s="148">
        <v>61.1</v>
      </c>
      <c r="F12">
        <f>D12*E12</f>
        <v>32532.695000000003</v>
      </c>
      <c r="G12" s="148">
        <v>683</v>
      </c>
      <c r="H12" s="148">
        <v>1982.5</v>
      </c>
      <c r="I12">
        <f t="shared" si="1"/>
        <v>-1299.5</v>
      </c>
      <c r="J12" s="148">
        <v>31562.65</v>
      </c>
      <c r="K12" s="148">
        <v>14420</v>
      </c>
      <c r="L12" s="148">
        <v>1343.3</v>
      </c>
      <c r="M12" s="148">
        <v>1965.8</v>
      </c>
      <c r="N12" s="148">
        <v>385</v>
      </c>
      <c r="O12">
        <f t="shared" si="2"/>
        <v>2350.8000000000002</v>
      </c>
    </row>
    <row r="13" spans="2:15" ht="15" customHeight="1" x14ac:dyDescent="0.2">
      <c r="D13" s="148"/>
      <c r="E13" s="148"/>
      <c r="F13" s="148"/>
      <c r="G13" s="148"/>
      <c r="H13" s="148"/>
      <c r="I13" s="148"/>
      <c r="J13" s="148"/>
      <c r="K13" s="148"/>
      <c r="L13" s="148"/>
      <c r="M13" s="148"/>
      <c r="N13" s="148"/>
      <c r="O13" s="148"/>
    </row>
    <row r="14" spans="2:15" ht="15" customHeight="1" x14ac:dyDescent="0.2">
      <c r="D14" s="148"/>
      <c r="E14" s="148"/>
      <c r="F14" s="148"/>
      <c r="G14" s="148"/>
      <c r="H14" s="148"/>
      <c r="I14" s="148"/>
      <c r="J14" s="148"/>
      <c r="K14" s="148"/>
      <c r="L14" s="148"/>
      <c r="M14" s="148"/>
      <c r="N14" s="148"/>
      <c r="O14" s="148"/>
    </row>
    <row r="16" spans="2:15" ht="15" customHeight="1" x14ac:dyDescent="0.2">
      <c r="D16" s="148"/>
      <c r="E16" s="148"/>
      <c r="F16" s="148"/>
      <c r="G16" s="148"/>
      <c r="H16" s="148"/>
      <c r="I16" s="148"/>
      <c r="J16" s="148"/>
      <c r="K16" s="148"/>
      <c r="L16" s="148"/>
      <c r="M16" s="148"/>
      <c r="N16" s="148"/>
      <c r="O16" s="148"/>
    </row>
    <row r="17" spans="4:17" ht="15" customHeight="1" x14ac:dyDescent="0.2">
      <c r="D17" s="148"/>
      <c r="E17" s="148"/>
      <c r="F17" s="148"/>
      <c r="G17" s="148"/>
      <c r="H17" s="148"/>
      <c r="I17" s="148"/>
      <c r="J17" s="148"/>
      <c r="K17" s="148"/>
      <c r="L17" s="148"/>
      <c r="M17" s="148"/>
      <c r="N17" s="148"/>
      <c r="O17" s="148"/>
    </row>
    <row r="18" spans="4:17" ht="15" customHeight="1" x14ac:dyDescent="0.2">
      <c r="D18" s="148"/>
      <c r="E18" s="148"/>
      <c r="F18" s="148"/>
      <c r="G18" s="148"/>
      <c r="H18" s="148"/>
      <c r="I18" s="148"/>
      <c r="J18" s="148"/>
      <c r="K18" s="148"/>
      <c r="L18" s="148"/>
      <c r="M18" s="148"/>
      <c r="N18" s="148"/>
      <c r="O18" s="148"/>
    </row>
    <row r="20" spans="4:17" ht="15" customHeight="1" x14ac:dyDescent="0.2">
      <c r="P20" s="148"/>
      <c r="Q20" s="148"/>
    </row>
    <row r="21" spans="4:17" ht="15" customHeight="1" x14ac:dyDescent="0.2">
      <c r="P21" s="148"/>
      <c r="Q21" s="148"/>
    </row>
    <row r="22" spans="4:17" ht="15" customHeight="1" x14ac:dyDescent="0.2">
      <c r="D22" s="148"/>
      <c r="E22" s="148"/>
      <c r="F22" s="148"/>
      <c r="G22" s="148"/>
      <c r="H22" s="148"/>
      <c r="I22" s="148"/>
      <c r="J22" s="148"/>
      <c r="K22" s="148"/>
      <c r="L22" s="148"/>
      <c r="M22" s="148"/>
      <c r="N22" s="148"/>
      <c r="O22" s="148"/>
    </row>
    <row r="23" spans="4:17" ht="15" customHeight="1" x14ac:dyDescent="0.2">
      <c r="D23" s="148"/>
      <c r="E23" s="148"/>
      <c r="F23" s="148"/>
      <c r="G23" s="148"/>
      <c r="H23" s="148"/>
      <c r="I23" s="148"/>
      <c r="J23" s="148"/>
      <c r="K23" s="148"/>
      <c r="L23" s="148"/>
      <c r="M23" s="148"/>
      <c r="N23" s="148"/>
      <c r="O23" s="148"/>
    </row>
    <row r="24" spans="4:17" ht="15" customHeight="1" x14ac:dyDescent="0.2">
      <c r="D24" s="148"/>
      <c r="E24" s="148"/>
      <c r="F24" s="148"/>
      <c r="G24" s="148"/>
      <c r="H24" s="148"/>
      <c r="I24" s="148"/>
      <c r="J24" s="148"/>
      <c r="K24" s="148"/>
      <c r="L24" s="148"/>
      <c r="M24" s="148"/>
      <c r="N24" s="148"/>
      <c r="O24" s="148"/>
    </row>
    <row r="25" spans="4:17" ht="15" customHeight="1" x14ac:dyDescent="0.2">
      <c r="D25" s="148"/>
      <c r="E25" s="148"/>
      <c r="F25" s="148"/>
      <c r="G25" s="148"/>
      <c r="H25" s="148"/>
      <c r="I25" s="148"/>
      <c r="J25" s="148"/>
      <c r="K25" s="148"/>
      <c r="L25" s="148"/>
      <c r="M25" s="148"/>
      <c r="N25" s="148"/>
      <c r="O25" s="148"/>
    </row>
    <row r="26" spans="4:17" ht="15" customHeight="1" x14ac:dyDescent="0.2">
      <c r="D26" s="148"/>
      <c r="E26" s="148"/>
      <c r="F26" s="148"/>
      <c r="G26" s="148"/>
      <c r="H26" s="148"/>
      <c r="I26" s="148"/>
      <c r="J26" s="148"/>
      <c r="K26" s="148"/>
      <c r="L26" s="148"/>
      <c r="M26" s="148"/>
      <c r="N26" s="148"/>
      <c r="O26" s="148"/>
    </row>
    <row r="27" spans="4:17" ht="15" customHeight="1" x14ac:dyDescent="0.2">
      <c r="D27" s="148"/>
      <c r="E27" s="148"/>
      <c r="F27" s="148"/>
      <c r="G27" s="148"/>
      <c r="H27" s="148"/>
      <c r="I27" s="148"/>
      <c r="J27" s="148"/>
      <c r="K27" s="148"/>
      <c r="L27" s="148"/>
      <c r="M27" s="148"/>
      <c r="N27" s="148"/>
      <c r="O27" s="148"/>
    </row>
    <row r="28" spans="4:17" ht="15" customHeight="1" x14ac:dyDescent="0.2">
      <c r="D28" s="148"/>
      <c r="E28" s="148"/>
      <c r="F28" s="148"/>
      <c r="G28" s="148"/>
      <c r="H28" s="148"/>
      <c r="I28" s="148"/>
      <c r="J28" s="148"/>
      <c r="K28" s="148"/>
      <c r="L28" s="148"/>
      <c r="M28" s="148"/>
      <c r="N28" s="148"/>
      <c r="O28" s="148"/>
    </row>
    <row r="29" spans="4:17" ht="15" customHeight="1" x14ac:dyDescent="0.2">
      <c r="D29" s="148"/>
      <c r="E29" s="148"/>
      <c r="F29" s="148"/>
      <c r="G29" s="148"/>
      <c r="H29" s="148"/>
      <c r="I29" s="148"/>
      <c r="J29" s="148"/>
      <c r="K29" s="148"/>
      <c r="L29" s="148"/>
      <c r="M29" s="148"/>
      <c r="N29" s="148"/>
      <c r="O29" s="148"/>
    </row>
    <row r="30" spans="4:17" ht="15" customHeight="1" x14ac:dyDescent="0.2">
      <c r="D30" s="148"/>
      <c r="E30" s="148"/>
      <c r="F30" s="148"/>
      <c r="G30" s="148"/>
      <c r="H30" s="148"/>
      <c r="I30" s="148"/>
      <c r="J30" s="148"/>
      <c r="K30" s="148"/>
      <c r="L30" s="148"/>
      <c r="M30" s="148"/>
      <c r="N30" s="148"/>
      <c r="O30" s="148"/>
    </row>
    <row r="31" spans="4:17" ht="15" customHeight="1" x14ac:dyDescent="0.2">
      <c r="D31" s="148"/>
      <c r="E31" s="148"/>
      <c r="F31" s="148"/>
      <c r="G31" s="148"/>
      <c r="H31" s="148"/>
      <c r="I31" s="148"/>
      <c r="J31" s="148"/>
      <c r="K31" s="148"/>
      <c r="L31" s="148"/>
      <c r="M31" s="148"/>
      <c r="N31" s="148"/>
      <c r="O31" s="148"/>
    </row>
    <row r="32" spans="4:17" ht="15" customHeight="1" x14ac:dyDescent="0.2">
      <c r="D32" s="148"/>
      <c r="E32" s="148"/>
      <c r="F32" s="148"/>
      <c r="G32" s="148"/>
      <c r="H32" s="148"/>
      <c r="I32" s="148"/>
      <c r="J32" s="148"/>
      <c r="K32" s="148"/>
      <c r="L32" s="148"/>
      <c r="M32" s="148"/>
      <c r="N32" s="148"/>
      <c r="O32" s="148"/>
    </row>
    <row r="33" spans="2:15" ht="15" customHeight="1" x14ac:dyDescent="0.2">
      <c r="D33" s="148"/>
      <c r="E33" s="148"/>
      <c r="F33" s="148"/>
      <c r="G33" s="148"/>
      <c r="H33" s="148"/>
      <c r="I33" s="148"/>
      <c r="J33" s="148"/>
      <c r="K33" s="148"/>
      <c r="L33" s="148"/>
      <c r="M33" s="148"/>
      <c r="N33" s="148"/>
      <c r="O33" s="148"/>
    </row>
    <row r="34" spans="2:15" ht="15" customHeight="1" x14ac:dyDescent="0.2">
      <c r="D34" s="148"/>
      <c r="E34" s="148"/>
      <c r="F34" s="148"/>
      <c r="G34" s="148"/>
      <c r="H34" s="148"/>
      <c r="I34" s="148"/>
      <c r="J34" s="148"/>
      <c r="K34" s="148"/>
      <c r="L34" s="148"/>
      <c r="M34" s="148"/>
      <c r="N34" s="148"/>
      <c r="O34" s="148"/>
    </row>
    <row r="35" spans="2:15" ht="15" customHeight="1" x14ac:dyDescent="0.2">
      <c r="D35" s="148"/>
      <c r="E35" s="148"/>
      <c r="F35" s="148"/>
      <c r="G35" s="148"/>
      <c r="H35" s="148"/>
      <c r="I35" s="148"/>
      <c r="J35" s="148"/>
      <c r="K35" s="148"/>
      <c r="L35" s="148"/>
      <c r="M35" s="148"/>
      <c r="N35" s="148"/>
      <c r="O35" s="148"/>
    </row>
    <row r="36" spans="2:15" ht="15" customHeight="1" x14ac:dyDescent="0.2">
      <c r="D36" s="148"/>
      <c r="E36" s="148"/>
      <c r="F36" s="148"/>
      <c r="G36" s="148"/>
      <c r="H36" s="148"/>
      <c r="I36" s="148"/>
      <c r="J36" s="148"/>
      <c r="K36" s="148"/>
      <c r="L36" s="148"/>
      <c r="M36" s="148"/>
      <c r="N36" s="148"/>
      <c r="O36" s="148"/>
    </row>
    <row r="37" spans="2:15" ht="15" customHeight="1" x14ac:dyDescent="0.2">
      <c r="D37" s="148"/>
      <c r="E37" s="148"/>
      <c r="F37" s="148"/>
      <c r="G37" s="148"/>
      <c r="H37" s="148"/>
      <c r="I37" s="148"/>
      <c r="J37" s="148"/>
      <c r="K37" s="148"/>
      <c r="L37" s="148"/>
      <c r="M37" s="148"/>
      <c r="N37" s="148"/>
      <c r="O37" s="148"/>
    </row>
    <row r="38" spans="2:15" ht="15" customHeight="1" x14ac:dyDescent="0.2">
      <c r="D38" s="148"/>
      <c r="E38" s="148"/>
      <c r="F38" s="148"/>
      <c r="G38" s="148"/>
      <c r="H38" s="148"/>
      <c r="I38" s="148"/>
      <c r="J38" s="148"/>
      <c r="K38" s="148"/>
      <c r="L38" s="148"/>
      <c r="M38" s="148"/>
      <c r="N38" s="148"/>
      <c r="O38" s="148"/>
    </row>
    <row r="41" spans="2:15" ht="15" customHeight="1" x14ac:dyDescent="0.2">
      <c r="B41" s="57"/>
      <c r="D41" s="57"/>
      <c r="E41" s="57"/>
      <c r="F41" s="57"/>
      <c r="G41" s="57"/>
      <c r="H41" s="57"/>
      <c r="I41" s="57"/>
    </row>
    <row r="42" spans="2:15" ht="15" customHeight="1" x14ac:dyDescent="0.2">
      <c r="B42" s="57"/>
    </row>
    <row r="43" spans="2:15" ht="15" customHeight="1" x14ac:dyDescent="0.2">
      <c r="B43" s="57"/>
    </row>
    <row r="44" spans="2:15" ht="15" customHeight="1" x14ac:dyDescent="0.2">
      <c r="B44" s="57"/>
    </row>
    <row r="45" spans="2:15" ht="15" customHeight="1" x14ac:dyDescent="0.2">
      <c r="B45" s="57"/>
    </row>
    <row r="46" spans="2:15" ht="15" customHeight="1" x14ac:dyDescent="0.2">
      <c r="B46" s="57"/>
    </row>
    <row r="47" spans="2:15" ht="15" customHeight="1" x14ac:dyDescent="0.2">
      <c r="B47" s="57"/>
    </row>
  </sheetData>
  <pageMargins left="0.7" right="0.7" top="0.75" bottom="0.75"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808080"/>
  </sheetPr>
  <dimension ref="B2:L71"/>
  <sheetViews>
    <sheetView zoomScale="90" zoomScaleNormal="90" workbookViewId="0">
      <pane xSplit="1" ySplit="2" topLeftCell="B4" activePane="bottomRight" state="frozen"/>
      <selection pane="topRight" activeCell="B1" sqref="B1"/>
      <selection pane="bottomLeft" activeCell="A4" sqref="A4"/>
      <selection pane="bottomRight" activeCell="D34" sqref="D34"/>
    </sheetView>
  </sheetViews>
  <sheetFormatPr baseColWidth="10" defaultColWidth="10.6640625" defaultRowHeight="15" x14ac:dyDescent="0.2"/>
  <cols>
    <col min="1" max="1" width="2.33203125" customWidth="1"/>
    <col min="2" max="2" width="23.5" customWidth="1"/>
  </cols>
  <sheetData>
    <row r="2" spans="2:12" ht="15" customHeight="1" x14ac:dyDescent="0.2">
      <c r="B2" s="272" t="s">
        <v>284</v>
      </c>
      <c r="C2" s="273">
        <v>42795</v>
      </c>
      <c r="D2" s="273">
        <v>43160</v>
      </c>
      <c r="E2" s="273">
        <v>43525</v>
      </c>
      <c r="F2" s="273">
        <v>43891</v>
      </c>
      <c r="G2" s="273">
        <v>44256</v>
      </c>
      <c r="H2" s="273">
        <v>44621</v>
      </c>
      <c r="I2" s="273">
        <v>44986</v>
      </c>
      <c r="J2" s="273">
        <v>45352</v>
      </c>
      <c r="K2" s="273">
        <v>45717</v>
      </c>
      <c r="L2" s="273">
        <v>46082</v>
      </c>
    </row>
    <row r="3" spans="2:12" ht="15" customHeight="1" x14ac:dyDescent="0.2">
      <c r="B3" s="169"/>
      <c r="C3" s="274"/>
      <c r="D3" s="274"/>
      <c r="E3" s="274"/>
      <c r="F3" s="274"/>
      <c r="G3" s="274"/>
      <c r="H3" s="274"/>
      <c r="I3" s="274"/>
      <c r="J3" s="274"/>
      <c r="K3" s="274"/>
      <c r="L3" s="274"/>
    </row>
    <row r="4" spans="2:12" ht="15" customHeight="1" x14ac:dyDescent="0.2">
      <c r="B4" s="54" t="s">
        <v>853</v>
      </c>
      <c r="C4" s="23">
        <v>1144</v>
      </c>
      <c r="D4" s="23">
        <v>1088</v>
      </c>
      <c r="E4" s="23">
        <v>2170</v>
      </c>
      <c r="F4" s="23">
        <v>2122</v>
      </c>
      <c r="G4" s="23">
        <v>2124</v>
      </c>
      <c r="H4" s="23">
        <v>2098</v>
      </c>
      <c r="I4" s="23">
        <v>2069</v>
      </c>
      <c r="J4" s="23">
        <v>2071</v>
      </c>
      <c r="K4" s="23">
        <v>2073</v>
      </c>
      <c r="L4" s="23">
        <v>2024</v>
      </c>
    </row>
    <row r="5" spans="2:12" ht="15" customHeight="1" x14ac:dyDescent="0.2">
      <c r="B5" s="54" t="s">
        <v>204</v>
      </c>
      <c r="C5" s="23">
        <v>67838</v>
      </c>
      <c r="D5" s="23">
        <v>63835</v>
      </c>
      <c r="E5" s="23">
        <v>62778</v>
      </c>
      <c r="F5" s="23">
        <v>63328</v>
      </c>
      <c r="G5" s="23">
        <v>74227</v>
      </c>
      <c r="H5" s="23">
        <v>73252</v>
      </c>
      <c r="I5" s="23">
        <v>73338</v>
      </c>
      <c r="J5" s="23">
        <v>86045</v>
      </c>
      <c r="K5" s="23">
        <v>93745</v>
      </c>
      <c r="L5" s="23">
        <v>90828</v>
      </c>
    </row>
    <row r="6" spans="2:12" ht="15" customHeight="1" x14ac:dyDescent="0.2">
      <c r="B6" s="54" t="s">
        <v>854</v>
      </c>
      <c r="C6" s="23"/>
      <c r="D6" s="23"/>
      <c r="E6" s="23"/>
      <c r="F6" s="23"/>
      <c r="G6" s="23"/>
      <c r="H6" s="23"/>
      <c r="I6" s="23"/>
      <c r="J6" s="23"/>
      <c r="K6" s="23"/>
      <c r="L6" s="23"/>
    </row>
    <row r="7" spans="2:12" ht="15" customHeight="1" x14ac:dyDescent="0.2">
      <c r="B7" t="s">
        <v>855</v>
      </c>
      <c r="C7" s="23">
        <v>0</v>
      </c>
      <c r="D7" s="23">
        <v>0</v>
      </c>
      <c r="E7" s="23">
        <v>0</v>
      </c>
      <c r="F7" s="23">
        <v>4633</v>
      </c>
      <c r="G7" s="23">
        <v>5325</v>
      </c>
      <c r="H7" s="23">
        <v>5474</v>
      </c>
      <c r="I7" s="23">
        <v>8299</v>
      </c>
      <c r="J7" s="23">
        <v>8359</v>
      </c>
      <c r="K7" s="23">
        <v>8227</v>
      </c>
      <c r="L7" s="23">
        <v>9176</v>
      </c>
    </row>
    <row r="8" spans="2:12" ht="15" customHeight="1" x14ac:dyDescent="0.2">
      <c r="B8" s="54" t="s">
        <v>856</v>
      </c>
      <c r="C8" s="23"/>
      <c r="D8" s="23"/>
      <c r="E8" s="23"/>
      <c r="F8" s="23"/>
      <c r="G8" s="23"/>
      <c r="H8" s="23"/>
      <c r="I8" s="23"/>
      <c r="J8" s="23"/>
      <c r="K8" s="23"/>
      <c r="L8" s="23"/>
    </row>
    <row r="9" spans="2:12" ht="15" customHeight="1" x14ac:dyDescent="0.2">
      <c r="B9" t="s">
        <v>857</v>
      </c>
      <c r="C9" s="23">
        <v>0</v>
      </c>
      <c r="D9" s="23">
        <v>1</v>
      </c>
      <c r="E9" s="23">
        <v>58</v>
      </c>
      <c r="F9" s="23">
        <v>394</v>
      </c>
      <c r="G9" s="23">
        <v>431</v>
      </c>
      <c r="H9" s="23">
        <v>386</v>
      </c>
      <c r="I9" s="23">
        <v>388</v>
      </c>
      <c r="J9" s="23">
        <v>345</v>
      </c>
      <c r="K9" s="23">
        <v>385</v>
      </c>
      <c r="L9" s="23">
        <v>445</v>
      </c>
    </row>
    <row r="10" spans="2:12" ht="15" customHeight="1" x14ac:dyDescent="0.2">
      <c r="B10" t="s">
        <v>858</v>
      </c>
      <c r="C10" s="23">
        <v>367</v>
      </c>
      <c r="D10" s="23">
        <v>694</v>
      </c>
      <c r="E10" s="23">
        <v>1655</v>
      </c>
      <c r="F10" s="23">
        <v>2852</v>
      </c>
      <c r="G10" s="23">
        <v>2645</v>
      </c>
      <c r="H10" s="23">
        <v>4134</v>
      </c>
      <c r="I10" s="23">
        <v>3865</v>
      </c>
      <c r="J10" s="23">
        <v>3956</v>
      </c>
      <c r="K10" s="23">
        <v>4164</v>
      </c>
      <c r="L10" s="23">
        <v>4744</v>
      </c>
    </row>
    <row r="11" spans="2:12" ht="15" customHeight="1" x14ac:dyDescent="0.2">
      <c r="B11" t="s">
        <v>859</v>
      </c>
      <c r="C11" s="23">
        <v>0</v>
      </c>
      <c r="D11" s="23">
        <v>0</v>
      </c>
      <c r="E11" s="23">
        <v>0</v>
      </c>
      <c r="F11" s="23">
        <v>0</v>
      </c>
      <c r="G11" s="23">
        <v>0</v>
      </c>
      <c r="H11" s="23">
        <v>0</v>
      </c>
      <c r="I11" s="23">
        <v>0</v>
      </c>
      <c r="J11" s="23">
        <v>0</v>
      </c>
      <c r="K11" s="23">
        <v>0</v>
      </c>
      <c r="L11" s="23">
        <v>0</v>
      </c>
    </row>
    <row r="12" spans="2:12" ht="15" customHeight="1" x14ac:dyDescent="0.2">
      <c r="B12" t="s">
        <v>860</v>
      </c>
      <c r="C12" s="23">
        <v>13799</v>
      </c>
      <c r="D12" s="23">
        <v>13731</v>
      </c>
      <c r="E12" s="23">
        <v>17405</v>
      </c>
      <c r="F12" s="23">
        <v>18471</v>
      </c>
      <c r="G12" s="23">
        <v>22759</v>
      </c>
      <c r="H12" s="23">
        <v>31385</v>
      </c>
      <c r="I12" s="23">
        <v>36637</v>
      </c>
      <c r="J12" s="23">
        <v>35244</v>
      </c>
      <c r="K12" s="23">
        <v>39201</v>
      </c>
      <c r="L12" s="23">
        <v>47071</v>
      </c>
    </row>
    <row r="13" spans="2:12" ht="15" customHeight="1" x14ac:dyDescent="0.2">
      <c r="B13" s="275" t="s">
        <v>207</v>
      </c>
      <c r="C13" s="276">
        <v>83148</v>
      </c>
      <c r="D13" s="276">
        <v>79349</v>
      </c>
      <c r="E13" s="276">
        <v>84066</v>
      </c>
      <c r="F13" s="276">
        <v>91800</v>
      </c>
      <c r="G13" s="276">
        <v>107511</v>
      </c>
      <c r="H13" s="276">
        <v>116729</v>
      </c>
      <c r="I13" s="276">
        <v>124596</v>
      </c>
      <c r="J13" s="276">
        <v>136020</v>
      </c>
      <c r="K13" s="276">
        <v>147795</v>
      </c>
      <c r="L13" s="276">
        <v>154288</v>
      </c>
    </row>
    <row r="14" spans="2:12" ht="15" customHeight="1" x14ac:dyDescent="0.2">
      <c r="B14" s="54"/>
      <c r="C14" s="103"/>
      <c r="D14" s="103"/>
      <c r="E14" s="103"/>
      <c r="F14" s="103"/>
      <c r="G14" s="103"/>
      <c r="H14" s="103"/>
      <c r="I14" s="103"/>
      <c r="J14" s="103"/>
      <c r="K14" s="103"/>
      <c r="L14" s="103"/>
    </row>
    <row r="15" spans="2:12" ht="15" customHeight="1" x14ac:dyDescent="0.2">
      <c r="B15" s="54" t="s">
        <v>861</v>
      </c>
      <c r="C15" s="103"/>
      <c r="D15" s="103"/>
      <c r="E15" s="103"/>
      <c r="F15" s="103"/>
      <c r="G15" s="103"/>
      <c r="H15" s="103"/>
      <c r="I15" s="103"/>
      <c r="J15" s="103"/>
      <c r="K15" s="103"/>
      <c r="L15" s="103"/>
    </row>
    <row r="16" spans="2:12" ht="15" customHeight="1" x14ac:dyDescent="0.2">
      <c r="B16" t="s">
        <v>862</v>
      </c>
      <c r="C16" s="23">
        <v>1095</v>
      </c>
      <c r="D16" s="23">
        <v>1229</v>
      </c>
      <c r="E16" s="23">
        <v>1307</v>
      </c>
      <c r="F16" s="23">
        <v>1950</v>
      </c>
      <c r="G16" s="23">
        <v>2035</v>
      </c>
      <c r="H16" s="23">
        <v>2066</v>
      </c>
      <c r="I16" s="23">
        <v>2054</v>
      </c>
      <c r="J16" s="23">
        <v>2037</v>
      </c>
      <c r="K16" s="23">
        <v>2079</v>
      </c>
      <c r="L16" s="23">
        <v>1990</v>
      </c>
    </row>
    <row r="17" spans="2:12" ht="15" customHeight="1" x14ac:dyDescent="0.2">
      <c r="B17" t="s">
        <v>863</v>
      </c>
      <c r="C17" s="23">
        <v>8419</v>
      </c>
      <c r="D17" s="23">
        <v>9334</v>
      </c>
      <c r="E17" s="23">
        <v>10270</v>
      </c>
      <c r="F17" s="23">
        <v>15104</v>
      </c>
      <c r="G17" s="23">
        <v>16394</v>
      </c>
      <c r="H17" s="23">
        <v>16760</v>
      </c>
      <c r="I17" s="23">
        <v>16903</v>
      </c>
      <c r="J17" s="23">
        <v>16515</v>
      </c>
      <c r="K17" s="23">
        <v>16376</v>
      </c>
      <c r="L17" s="23">
        <v>17193</v>
      </c>
    </row>
    <row r="18" spans="2:12" ht="15" customHeight="1" x14ac:dyDescent="0.2">
      <c r="B18" t="s">
        <v>864</v>
      </c>
      <c r="C18" s="23">
        <v>2048</v>
      </c>
      <c r="D18" s="23">
        <v>2306</v>
      </c>
      <c r="E18" s="23">
        <v>2709</v>
      </c>
      <c r="F18" s="23">
        <v>3185</v>
      </c>
      <c r="G18" s="23">
        <v>3296</v>
      </c>
      <c r="H18" s="23">
        <v>3210</v>
      </c>
      <c r="I18" s="23">
        <v>3302</v>
      </c>
      <c r="J18" s="23">
        <v>3428</v>
      </c>
      <c r="K18" s="23">
        <v>3461</v>
      </c>
      <c r="L18" s="23">
        <v>3714</v>
      </c>
    </row>
    <row r="19" spans="2:12" ht="15" customHeight="1" x14ac:dyDescent="0.2">
      <c r="B19" t="s">
        <v>865</v>
      </c>
      <c r="C19" s="23">
        <v>922</v>
      </c>
      <c r="D19" s="23">
        <v>1002</v>
      </c>
      <c r="E19" s="23">
        <v>1101</v>
      </c>
      <c r="F19" s="23">
        <v>1265</v>
      </c>
      <c r="G19" s="23">
        <v>1371</v>
      </c>
      <c r="H19" s="23">
        <v>1427</v>
      </c>
      <c r="I19" s="23">
        <v>1482</v>
      </c>
      <c r="J19" s="23">
        <v>1528</v>
      </c>
      <c r="K19" s="23">
        <v>1628</v>
      </c>
      <c r="L19" s="23">
        <v>1732</v>
      </c>
    </row>
    <row r="20" spans="2:12" ht="15" customHeight="1" x14ac:dyDescent="0.2">
      <c r="B20" t="s">
        <v>866</v>
      </c>
      <c r="C20" s="23">
        <v>4945</v>
      </c>
      <c r="D20" s="23">
        <v>4903</v>
      </c>
      <c r="E20" s="23">
        <v>6287</v>
      </c>
      <c r="F20" s="23">
        <v>7423</v>
      </c>
      <c r="G20" s="23">
        <v>8732</v>
      </c>
      <c r="H20" s="23">
        <v>9936</v>
      </c>
      <c r="I20" s="23">
        <v>11898</v>
      </c>
      <c r="J20" s="23">
        <v>12353</v>
      </c>
      <c r="K20" s="23">
        <v>12925</v>
      </c>
      <c r="L20" s="23">
        <v>13600</v>
      </c>
    </row>
    <row r="21" spans="2:12" ht="15" customHeight="1" x14ac:dyDescent="0.2">
      <c r="B21" t="s">
        <v>867</v>
      </c>
      <c r="C21" s="23">
        <v>1277</v>
      </c>
      <c r="D21" s="23">
        <v>1393</v>
      </c>
      <c r="E21" s="23">
        <v>1620</v>
      </c>
      <c r="F21" s="23">
        <v>2073</v>
      </c>
      <c r="G21" s="23">
        <v>2149</v>
      </c>
      <c r="H21" s="23">
        <v>2278</v>
      </c>
      <c r="I21" s="23">
        <v>2303</v>
      </c>
      <c r="J21" s="23">
        <v>2326</v>
      </c>
      <c r="K21" s="23">
        <v>2340</v>
      </c>
      <c r="L21" s="23">
        <v>2438</v>
      </c>
    </row>
    <row r="22" spans="2:12" ht="15" customHeight="1" x14ac:dyDescent="0.2">
      <c r="B22" t="s">
        <v>868</v>
      </c>
      <c r="C22" s="23">
        <v>31</v>
      </c>
      <c r="D22" s="23">
        <v>31</v>
      </c>
      <c r="E22" s="23">
        <v>38</v>
      </c>
      <c r="F22" s="23">
        <v>69</v>
      </c>
      <c r="G22" s="23">
        <v>73</v>
      </c>
      <c r="H22" s="23">
        <v>71</v>
      </c>
      <c r="I22" s="23">
        <v>60</v>
      </c>
      <c r="J22" s="23">
        <v>62</v>
      </c>
      <c r="K22" s="23">
        <v>72</v>
      </c>
      <c r="L22" s="23">
        <v>70</v>
      </c>
    </row>
    <row r="23" spans="2:12" ht="15" customHeight="1" x14ac:dyDescent="0.2">
      <c r="B23" t="s">
        <v>869</v>
      </c>
      <c r="C23" s="23">
        <v>3743</v>
      </c>
      <c r="D23" s="23">
        <v>2237</v>
      </c>
      <c r="E23" s="23">
        <v>3640</v>
      </c>
      <c r="F23" s="23">
        <v>5528</v>
      </c>
      <c r="G23" s="23">
        <v>6373</v>
      </c>
      <c r="H23" s="23">
        <v>6495</v>
      </c>
      <c r="I23" s="23">
        <v>7594</v>
      </c>
      <c r="J23" s="23">
        <v>7652</v>
      </c>
      <c r="K23" s="23">
        <v>10626</v>
      </c>
      <c r="L23" s="23">
        <v>12729</v>
      </c>
    </row>
    <row r="24" spans="2:12" ht="15" customHeight="1" x14ac:dyDescent="0.2">
      <c r="B24" t="s">
        <v>870</v>
      </c>
      <c r="C24" s="23">
        <v>899</v>
      </c>
      <c r="D24" s="23">
        <v>545</v>
      </c>
      <c r="E24" s="23">
        <v>1093</v>
      </c>
      <c r="F24" s="23">
        <v>2289</v>
      </c>
      <c r="G24" s="23">
        <v>2730</v>
      </c>
      <c r="H24" s="23">
        <v>2766</v>
      </c>
      <c r="I24" s="23">
        <v>3281</v>
      </c>
      <c r="J24" s="23">
        <v>3294</v>
      </c>
      <c r="K24" s="23">
        <v>5184</v>
      </c>
      <c r="L24" s="23">
        <v>6296</v>
      </c>
    </row>
    <row r="25" spans="2:12" ht="15" customHeight="1" x14ac:dyDescent="0.2">
      <c r="B25" s="54" t="s">
        <v>713</v>
      </c>
      <c r="C25" s="223">
        <v>23379</v>
      </c>
      <c r="D25" s="223">
        <v>22980</v>
      </c>
      <c r="E25" s="223">
        <v>28065</v>
      </c>
      <c r="F25" s="223">
        <v>38886</v>
      </c>
      <c r="G25" s="223">
        <v>43153</v>
      </c>
      <c r="H25" s="223">
        <v>45009</v>
      </c>
      <c r="I25" s="223">
        <v>48877</v>
      </c>
      <c r="J25" s="223">
        <v>49195</v>
      </c>
      <c r="K25" s="223">
        <v>54691</v>
      </c>
      <c r="L25" s="223">
        <v>59762</v>
      </c>
    </row>
    <row r="26" spans="2:12" ht="15" customHeight="1" x14ac:dyDescent="0.2">
      <c r="B26" s="54" t="s">
        <v>714</v>
      </c>
      <c r="C26" s="23">
        <v>9200</v>
      </c>
      <c r="D26" s="23">
        <v>10406</v>
      </c>
      <c r="E26" s="23">
        <v>12355</v>
      </c>
      <c r="F26" s="23">
        <v>15097</v>
      </c>
      <c r="G26" s="23">
        <v>17648</v>
      </c>
      <c r="H26" s="23">
        <v>19209</v>
      </c>
      <c r="I26" s="23">
        <v>19652</v>
      </c>
      <c r="J26" s="23">
        <v>21573</v>
      </c>
      <c r="K26" s="23">
        <v>23730</v>
      </c>
      <c r="L26" s="23">
        <v>25992</v>
      </c>
    </row>
    <row r="27" spans="2:12" ht="15" customHeight="1" x14ac:dyDescent="0.2">
      <c r="B27" s="188" t="s">
        <v>277</v>
      </c>
      <c r="C27" s="277">
        <f t="shared" ref="C27:L27" si="0">C25-C26</f>
        <v>14179</v>
      </c>
      <c r="D27" s="277">
        <f t="shared" si="0"/>
        <v>12574</v>
      </c>
      <c r="E27" s="277">
        <f t="shared" si="0"/>
        <v>15710</v>
      </c>
      <c r="F27" s="277">
        <f t="shared" si="0"/>
        <v>23789</v>
      </c>
      <c r="G27" s="277">
        <f t="shared" si="0"/>
        <v>25505</v>
      </c>
      <c r="H27" s="277">
        <f t="shared" si="0"/>
        <v>25800</v>
      </c>
      <c r="I27" s="277">
        <f t="shared" si="0"/>
        <v>29225</v>
      </c>
      <c r="J27" s="277">
        <f t="shared" si="0"/>
        <v>27622</v>
      </c>
      <c r="K27" s="277">
        <f t="shared" si="0"/>
        <v>30961</v>
      </c>
      <c r="L27" s="277">
        <f t="shared" si="0"/>
        <v>33770</v>
      </c>
    </row>
    <row r="28" spans="2:12" ht="15" customHeight="1" x14ac:dyDescent="0.2">
      <c r="B28" s="54"/>
      <c r="C28" s="23"/>
      <c r="D28" s="23"/>
      <c r="E28" s="23"/>
      <c r="F28" s="23"/>
      <c r="G28" s="23"/>
      <c r="H28" s="23"/>
      <c r="I28" s="23"/>
      <c r="J28" s="23"/>
      <c r="K28" s="23"/>
      <c r="L28" s="23"/>
    </row>
    <row r="29" spans="2:12" ht="15" customHeight="1" x14ac:dyDescent="0.2">
      <c r="B29" s="54" t="s">
        <v>871</v>
      </c>
      <c r="C29" s="23">
        <v>1365</v>
      </c>
      <c r="D29" s="23">
        <v>1606</v>
      </c>
      <c r="E29" s="23">
        <v>1388</v>
      </c>
      <c r="F29" s="23">
        <v>954</v>
      </c>
      <c r="G29" s="23">
        <v>922</v>
      </c>
      <c r="H29" s="23">
        <v>416</v>
      </c>
      <c r="I29" s="23">
        <v>288</v>
      </c>
      <c r="J29" s="23">
        <v>293</v>
      </c>
      <c r="K29" s="23">
        <v>814</v>
      </c>
      <c r="L29" s="23">
        <v>526</v>
      </c>
    </row>
    <row r="30" spans="2:12" ht="15" customHeight="1" x14ac:dyDescent="0.2">
      <c r="B30" s="54" t="s">
        <v>210</v>
      </c>
      <c r="C30" s="23">
        <v>16423</v>
      </c>
      <c r="D30" s="23">
        <v>12163</v>
      </c>
      <c r="E30" s="23">
        <v>11261</v>
      </c>
      <c r="F30" s="23">
        <v>8792</v>
      </c>
      <c r="G30" s="23">
        <v>14205</v>
      </c>
      <c r="H30" s="23">
        <v>20324</v>
      </c>
      <c r="I30" s="23">
        <v>19478</v>
      </c>
      <c r="J30" s="23">
        <v>24623</v>
      </c>
      <c r="K30" s="23">
        <v>23541</v>
      </c>
      <c r="L30" s="23">
        <v>21880</v>
      </c>
    </row>
    <row r="31" spans="2:12" ht="15" customHeight="1" x14ac:dyDescent="0.2">
      <c r="B31" s="54"/>
      <c r="C31" s="23"/>
      <c r="D31" s="23"/>
      <c r="E31" s="23"/>
      <c r="F31" s="23"/>
      <c r="G31" s="23"/>
      <c r="H31" s="23"/>
      <c r="I31" s="23"/>
      <c r="J31" s="23"/>
      <c r="K31" s="23"/>
      <c r="L31" s="23"/>
    </row>
    <row r="32" spans="2:12" ht="15" customHeight="1" x14ac:dyDescent="0.2">
      <c r="B32" s="54" t="s">
        <v>872</v>
      </c>
      <c r="C32" s="23"/>
      <c r="D32" s="23"/>
      <c r="E32" s="23"/>
      <c r="F32" s="23"/>
      <c r="G32" s="23"/>
      <c r="H32" s="23"/>
      <c r="I32" s="23"/>
      <c r="J32" s="23"/>
      <c r="K32" s="23"/>
      <c r="L32" s="23"/>
    </row>
    <row r="33" spans="2:12" ht="15" customHeight="1" x14ac:dyDescent="0.2">
      <c r="B33" t="s">
        <v>873</v>
      </c>
      <c r="C33" s="23">
        <v>12322</v>
      </c>
      <c r="D33" s="23">
        <v>13142</v>
      </c>
      <c r="E33" s="23">
        <v>14827</v>
      </c>
      <c r="F33" s="23">
        <v>18487</v>
      </c>
      <c r="G33" s="23">
        <v>19294</v>
      </c>
      <c r="H33" s="23">
        <v>22698</v>
      </c>
      <c r="I33" s="23">
        <v>25424</v>
      </c>
      <c r="J33" s="23">
        <v>30193</v>
      </c>
      <c r="K33" s="23">
        <v>31158</v>
      </c>
      <c r="L33" s="23">
        <v>35234</v>
      </c>
    </row>
    <row r="34" spans="2:12" ht="15" customHeight="1" x14ac:dyDescent="0.2">
      <c r="B34" t="s">
        <v>874</v>
      </c>
      <c r="C34" s="23">
        <v>22625</v>
      </c>
      <c r="D34" s="23">
        <v>19818</v>
      </c>
      <c r="E34" s="23">
        <v>19568</v>
      </c>
      <c r="F34" s="23">
        <v>18649</v>
      </c>
      <c r="G34" s="23">
        <v>24714</v>
      </c>
      <c r="H34" s="23">
        <v>17472</v>
      </c>
      <c r="I34" s="23">
        <v>12173</v>
      </c>
      <c r="J34" s="23">
        <v>14786</v>
      </c>
      <c r="K34" s="23">
        <v>24455</v>
      </c>
      <c r="L34" s="23">
        <v>22201</v>
      </c>
    </row>
    <row r="35" spans="2:12" ht="15" customHeight="1" x14ac:dyDescent="0.2">
      <c r="B35" t="s">
        <v>875</v>
      </c>
      <c r="C35" s="23">
        <v>844</v>
      </c>
      <c r="D35" s="23">
        <v>830</v>
      </c>
      <c r="E35" s="23">
        <v>1524</v>
      </c>
      <c r="F35" s="23">
        <v>1359</v>
      </c>
      <c r="G35" s="23">
        <v>1460</v>
      </c>
      <c r="H35" s="23">
        <v>2491</v>
      </c>
      <c r="I35" s="23">
        <v>3242</v>
      </c>
      <c r="J35" s="23">
        <v>10330</v>
      </c>
      <c r="K35" s="23">
        <v>6717</v>
      </c>
      <c r="L35" s="23">
        <v>6808</v>
      </c>
    </row>
    <row r="36" spans="2:12" ht="15" customHeight="1" x14ac:dyDescent="0.2">
      <c r="B36" t="s">
        <v>876</v>
      </c>
      <c r="C36" s="23">
        <v>15390</v>
      </c>
      <c r="D36" s="23">
        <v>19216</v>
      </c>
      <c r="E36" s="23">
        <v>19788</v>
      </c>
      <c r="F36" s="23">
        <v>19770</v>
      </c>
      <c r="G36" s="23">
        <v>21411</v>
      </c>
      <c r="H36" s="23">
        <v>27528</v>
      </c>
      <c r="I36" s="23">
        <v>34766</v>
      </c>
      <c r="J36" s="23">
        <v>28173</v>
      </c>
      <c r="K36" s="23">
        <v>30149</v>
      </c>
      <c r="L36" s="23">
        <v>33869</v>
      </c>
    </row>
    <row r="37" spans="2:12" ht="15" customHeight="1" x14ac:dyDescent="0.2">
      <c r="B37" s="275" t="s">
        <v>217</v>
      </c>
      <c r="C37" s="276">
        <v>83148</v>
      </c>
      <c r="D37" s="276">
        <v>79349</v>
      </c>
      <c r="E37" s="276">
        <v>84066</v>
      </c>
      <c r="F37" s="276">
        <v>91800</v>
      </c>
      <c r="G37" s="276">
        <v>107511</v>
      </c>
      <c r="H37" s="276">
        <v>116729</v>
      </c>
      <c r="I37" s="276">
        <v>124596</v>
      </c>
      <c r="J37" s="276">
        <v>136020</v>
      </c>
      <c r="K37" s="276">
        <v>147795</v>
      </c>
      <c r="L37" s="276">
        <v>154288</v>
      </c>
    </row>
    <row r="41" spans="2:12" ht="15" customHeight="1" x14ac:dyDescent="0.2">
      <c r="C41" s="71"/>
      <c r="D41" s="71"/>
      <c r="E41" s="71"/>
      <c r="F41" s="71"/>
      <c r="G41" s="71"/>
      <c r="H41" s="71"/>
      <c r="I41" s="71"/>
      <c r="J41" s="71"/>
      <c r="K41" s="71"/>
      <c r="L41" s="71"/>
    </row>
    <row r="42" spans="2:12" ht="15" customHeight="1" x14ac:dyDescent="0.2">
      <c r="C42" s="103"/>
      <c r="D42" s="103"/>
      <c r="E42" s="103"/>
      <c r="F42" s="103"/>
      <c r="G42" s="103"/>
      <c r="H42" s="103"/>
      <c r="I42" s="103"/>
      <c r="J42" s="103"/>
      <c r="K42" s="103"/>
      <c r="L42" s="103"/>
    </row>
    <row r="43" spans="2:12" ht="15" customHeight="1" x14ac:dyDescent="0.2">
      <c r="C43" s="103"/>
      <c r="D43" s="103"/>
      <c r="E43" s="103"/>
      <c r="F43" s="103"/>
      <c r="G43" s="103"/>
      <c r="H43" s="103"/>
      <c r="I43" s="103"/>
      <c r="J43" s="103"/>
      <c r="K43" s="103"/>
      <c r="L43" s="103"/>
    </row>
    <row r="44" spans="2:12" ht="15" customHeight="1" x14ac:dyDescent="0.2">
      <c r="F44" s="103"/>
      <c r="G44" s="103"/>
      <c r="H44" s="103"/>
      <c r="I44" s="103"/>
      <c r="J44" s="103"/>
      <c r="K44" s="103"/>
      <c r="L44" s="103"/>
    </row>
    <row r="45" spans="2:12" ht="15" customHeight="1" x14ac:dyDescent="0.2">
      <c r="F45" s="103"/>
      <c r="G45" s="103"/>
      <c r="H45" s="103"/>
      <c r="I45" s="103"/>
      <c r="J45" s="103"/>
      <c r="K45" s="103"/>
      <c r="L45" s="103"/>
    </row>
    <row r="46" spans="2:12" ht="15" customHeight="1" x14ac:dyDescent="0.2">
      <c r="C46" s="103"/>
      <c r="D46" s="103"/>
      <c r="E46" s="103"/>
      <c r="F46" s="103"/>
      <c r="G46" s="103"/>
      <c r="H46" s="103"/>
      <c r="I46" s="103"/>
      <c r="J46" s="103"/>
      <c r="K46" s="103"/>
      <c r="L46" s="103"/>
    </row>
    <row r="48" spans="2:12" ht="15" customHeight="1" x14ac:dyDescent="0.2">
      <c r="E48" s="103"/>
      <c r="F48" s="103"/>
      <c r="G48" s="103"/>
      <c r="H48" s="103"/>
      <c r="I48" s="103"/>
      <c r="J48" s="103"/>
      <c r="K48" s="103"/>
      <c r="L48" s="103"/>
    </row>
    <row r="50" spans="3:12" ht="15" customHeight="1" x14ac:dyDescent="0.2">
      <c r="C50" s="103"/>
      <c r="D50" s="103"/>
      <c r="E50" s="103"/>
      <c r="F50" s="103"/>
      <c r="G50" s="103"/>
      <c r="H50" s="103"/>
      <c r="I50" s="103"/>
      <c r="J50" s="103"/>
      <c r="K50" s="103"/>
      <c r="L50" s="103"/>
    </row>
    <row r="51" spans="3:12" ht="15" customHeight="1" x14ac:dyDescent="0.2">
      <c r="C51" s="103"/>
      <c r="D51" s="103"/>
      <c r="E51" s="103"/>
      <c r="F51" s="103"/>
      <c r="G51" s="103"/>
      <c r="H51" s="103"/>
      <c r="I51" s="103"/>
      <c r="J51" s="103"/>
      <c r="K51" s="103"/>
      <c r="L51" s="103"/>
    </row>
    <row r="52" spans="3:12" ht="15" customHeight="1" x14ac:dyDescent="0.2">
      <c r="C52" s="103"/>
      <c r="D52" s="103"/>
      <c r="E52" s="103"/>
      <c r="F52" s="103"/>
      <c r="G52" s="103"/>
      <c r="H52" s="103"/>
      <c r="I52" s="103"/>
      <c r="J52" s="103"/>
      <c r="K52" s="103"/>
      <c r="L52" s="103"/>
    </row>
    <row r="53" spans="3:12" ht="15" customHeight="1" x14ac:dyDescent="0.2">
      <c r="C53" s="103"/>
      <c r="D53" s="103"/>
      <c r="E53" s="103"/>
      <c r="F53" s="103"/>
      <c r="G53" s="103"/>
      <c r="H53" s="103"/>
      <c r="I53" s="103"/>
      <c r="J53" s="103"/>
      <c r="K53" s="103"/>
      <c r="L53" s="103"/>
    </row>
    <row r="54" spans="3:12" ht="15" customHeight="1" x14ac:dyDescent="0.2">
      <c r="C54" s="103"/>
      <c r="D54" s="103"/>
      <c r="E54" s="103"/>
      <c r="F54" s="103"/>
      <c r="G54" s="103"/>
      <c r="H54" s="103"/>
      <c r="I54" s="103"/>
      <c r="J54" s="103"/>
      <c r="K54" s="103"/>
      <c r="L54" s="103"/>
    </row>
    <row r="55" spans="3:12" ht="15" customHeight="1" x14ac:dyDescent="0.2">
      <c r="C55" s="103"/>
      <c r="D55" s="103"/>
      <c r="E55" s="103"/>
      <c r="F55" s="103"/>
      <c r="G55" s="103"/>
      <c r="H55" s="103"/>
      <c r="I55" s="103"/>
      <c r="J55" s="103"/>
      <c r="K55" s="103"/>
      <c r="L55" s="103"/>
    </row>
    <row r="56" spans="3:12" ht="15" customHeight="1" x14ac:dyDescent="0.2">
      <c r="D56" s="103"/>
      <c r="E56" s="103"/>
      <c r="F56" s="103"/>
      <c r="G56" s="103"/>
      <c r="H56" s="103"/>
      <c r="I56" s="103"/>
      <c r="J56" s="103"/>
      <c r="K56" s="103"/>
      <c r="L56" s="103"/>
    </row>
    <row r="57" spans="3:12" ht="15" customHeight="1" x14ac:dyDescent="0.2">
      <c r="C57" s="103"/>
      <c r="D57" s="103"/>
      <c r="E57" s="103"/>
      <c r="F57" s="103"/>
      <c r="G57" s="103"/>
      <c r="H57" s="103"/>
      <c r="I57" s="103"/>
      <c r="J57" s="103"/>
      <c r="K57" s="103"/>
      <c r="L57" s="103"/>
    </row>
    <row r="58" spans="3:12" ht="15" customHeight="1" x14ac:dyDescent="0.2">
      <c r="C58" s="103"/>
      <c r="D58" s="103"/>
      <c r="E58" s="103"/>
      <c r="F58" s="103"/>
      <c r="G58" s="103"/>
      <c r="H58" s="103"/>
      <c r="I58" s="103"/>
      <c r="J58" s="103"/>
      <c r="K58" s="103"/>
      <c r="L58" s="103"/>
    </row>
    <row r="60" spans="3:12" ht="15" customHeight="1" x14ac:dyDescent="0.2">
      <c r="C60" s="103"/>
      <c r="D60" s="103"/>
      <c r="E60" s="103"/>
      <c r="F60" s="103"/>
      <c r="G60" s="103"/>
      <c r="H60" s="103"/>
      <c r="I60" s="103"/>
      <c r="J60" s="103"/>
      <c r="K60" s="103"/>
      <c r="L60" s="103"/>
    </row>
    <row r="61" spans="3:12" ht="15" customHeight="1" x14ac:dyDescent="0.2">
      <c r="E61" s="103"/>
      <c r="F61" s="103"/>
      <c r="G61" s="103"/>
      <c r="H61" s="103"/>
      <c r="I61" s="103"/>
      <c r="J61" s="103"/>
      <c r="K61" s="103"/>
      <c r="L61" s="103"/>
    </row>
    <row r="62" spans="3:12" ht="15" customHeight="1" x14ac:dyDescent="0.2">
      <c r="C62" s="103"/>
      <c r="D62" s="103"/>
      <c r="E62" s="103"/>
      <c r="F62" s="103"/>
      <c r="G62" s="103"/>
      <c r="H62" s="103"/>
      <c r="I62" s="103"/>
      <c r="J62" s="103"/>
      <c r="K62" s="103"/>
      <c r="L62" s="103"/>
    </row>
    <row r="63" spans="3:12" ht="15" customHeight="1" x14ac:dyDescent="0.2">
      <c r="C63" s="103"/>
      <c r="D63" s="103"/>
      <c r="E63" s="103"/>
      <c r="F63" s="103"/>
      <c r="G63" s="103"/>
      <c r="H63" s="103"/>
      <c r="I63" s="103"/>
      <c r="J63" s="103"/>
      <c r="K63" s="103"/>
      <c r="L63" s="103"/>
    </row>
    <row r="64" spans="3:12" ht="15" customHeight="1" x14ac:dyDescent="0.2">
      <c r="C64" s="103"/>
      <c r="D64" s="103"/>
      <c r="E64" s="103"/>
    </row>
    <row r="65" spans="3:12" ht="15" customHeight="1" x14ac:dyDescent="0.2">
      <c r="C65" s="103"/>
      <c r="D65" s="103"/>
      <c r="E65" s="103"/>
      <c r="F65" s="103"/>
      <c r="G65" s="103"/>
      <c r="H65" s="103"/>
      <c r="I65" s="103"/>
      <c r="J65" s="103"/>
      <c r="K65" s="103"/>
      <c r="L65" s="103"/>
    </row>
    <row r="66" spans="3:12" ht="15" customHeight="1" x14ac:dyDescent="0.2">
      <c r="C66" s="103"/>
      <c r="D66" s="103"/>
      <c r="E66" s="103"/>
      <c r="F66" s="103"/>
      <c r="G66" s="103"/>
      <c r="H66" s="103"/>
      <c r="I66" s="103"/>
      <c r="J66" s="103"/>
      <c r="K66" s="103"/>
      <c r="L66" s="103"/>
    </row>
    <row r="67" spans="3:12" ht="15" customHeight="1" x14ac:dyDescent="0.2">
      <c r="C67" s="103"/>
      <c r="D67" s="103"/>
      <c r="E67" s="103"/>
      <c r="F67" s="103"/>
      <c r="G67" s="103"/>
      <c r="H67" s="103"/>
      <c r="I67" s="103"/>
      <c r="J67" s="103"/>
      <c r="K67" s="103"/>
      <c r="L67" s="103"/>
    </row>
    <row r="68" spans="3:12" ht="15" customHeight="1" x14ac:dyDescent="0.2">
      <c r="C68" s="103"/>
      <c r="D68" s="103"/>
      <c r="E68" s="103"/>
      <c r="F68" s="103"/>
      <c r="G68" s="103"/>
      <c r="H68" s="103"/>
      <c r="I68" s="103"/>
      <c r="J68" s="103"/>
      <c r="K68" s="103"/>
      <c r="L68" s="103"/>
    </row>
    <row r="69" spans="3:12" ht="15" customHeight="1" x14ac:dyDescent="0.2">
      <c r="E69" s="103"/>
      <c r="F69" s="103"/>
      <c r="G69" s="103"/>
      <c r="H69" s="103"/>
      <c r="I69" s="103"/>
      <c r="J69" s="103"/>
      <c r="K69" s="103"/>
      <c r="L69" s="103"/>
    </row>
    <row r="70" spans="3:12" ht="15" customHeight="1" x14ac:dyDescent="0.2">
      <c r="C70" s="103"/>
      <c r="D70" s="103"/>
      <c r="E70" s="103"/>
      <c r="F70" s="103"/>
      <c r="G70" s="103"/>
      <c r="H70" s="103"/>
      <c r="I70" s="103"/>
      <c r="J70" s="103"/>
      <c r="K70" s="103"/>
      <c r="L70" s="103"/>
    </row>
    <row r="71" spans="3:12" ht="15" customHeight="1" x14ac:dyDescent="0.2">
      <c r="C71" s="103"/>
      <c r="D71" s="103"/>
      <c r="E71" s="103"/>
      <c r="F71" s="103"/>
      <c r="G71" s="103"/>
      <c r="H71" s="103"/>
      <c r="I71" s="103"/>
      <c r="J71" s="103"/>
      <c r="K71" s="103"/>
      <c r="L71" s="103"/>
    </row>
  </sheetData>
  <pageMargins left="0.7" right="0.7" top="0.75" bottom="0.75"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808080"/>
  </sheetPr>
  <dimension ref="B2:L59"/>
  <sheetViews>
    <sheetView zoomScale="90" zoomScaleNormal="90" workbookViewId="0">
      <selection activeCell="S24" sqref="S24"/>
    </sheetView>
  </sheetViews>
  <sheetFormatPr baseColWidth="10" defaultColWidth="10.6640625" defaultRowHeight="15" x14ac:dyDescent="0.2"/>
  <cols>
    <col min="2" max="2" width="28.83203125" customWidth="1"/>
  </cols>
  <sheetData>
    <row r="2" spans="2:12" ht="15" customHeight="1" x14ac:dyDescent="0.2">
      <c r="B2" s="114" t="s">
        <v>284</v>
      </c>
      <c r="C2" s="278">
        <v>42795</v>
      </c>
      <c r="D2" s="278">
        <v>43160</v>
      </c>
      <c r="E2" s="278">
        <v>43525</v>
      </c>
      <c r="F2" s="278">
        <v>43891</v>
      </c>
      <c r="G2" s="278">
        <v>44256</v>
      </c>
      <c r="H2" s="278">
        <v>44621</v>
      </c>
      <c r="I2" s="278">
        <v>44986</v>
      </c>
      <c r="J2" s="278">
        <v>45352</v>
      </c>
      <c r="K2" s="278">
        <v>45717</v>
      </c>
      <c r="L2" s="278">
        <v>46082</v>
      </c>
    </row>
    <row r="3" spans="2:12" ht="15" customHeight="1" x14ac:dyDescent="0.2">
      <c r="B3" s="54" t="s">
        <v>877</v>
      </c>
      <c r="C3" s="23">
        <v>11531</v>
      </c>
      <c r="D3" s="23">
        <v>13218</v>
      </c>
      <c r="E3" s="23">
        <v>14841</v>
      </c>
      <c r="F3" s="23">
        <v>17003</v>
      </c>
      <c r="G3" s="23">
        <v>23224</v>
      </c>
      <c r="H3" s="23">
        <v>23885</v>
      </c>
      <c r="I3" s="23">
        <v>22467</v>
      </c>
      <c r="J3" s="23">
        <v>25210</v>
      </c>
      <c r="K3" s="23">
        <v>35694</v>
      </c>
      <c r="L3" s="23">
        <v>33986</v>
      </c>
    </row>
    <row r="4" spans="2:12" ht="15" customHeight="1" x14ac:dyDescent="0.2">
      <c r="B4" t="s">
        <v>220</v>
      </c>
      <c r="C4" s="23">
        <v>19340</v>
      </c>
      <c r="D4" s="23">
        <v>19963</v>
      </c>
      <c r="E4" s="23">
        <v>22126</v>
      </c>
      <c r="F4" s="23">
        <v>23920</v>
      </c>
      <c r="G4" s="23">
        <v>28845</v>
      </c>
      <c r="H4" s="23">
        <v>32921</v>
      </c>
      <c r="I4" s="23">
        <v>37605</v>
      </c>
      <c r="J4" s="23">
        <v>39523</v>
      </c>
      <c r="K4" s="23">
        <v>41591</v>
      </c>
      <c r="L4" s="23">
        <v>45273</v>
      </c>
    </row>
    <row r="5" spans="2:12" ht="15" customHeight="1" x14ac:dyDescent="0.2">
      <c r="B5" t="s">
        <v>213</v>
      </c>
      <c r="C5" s="23">
        <v>-1743</v>
      </c>
      <c r="D5" s="23">
        <v>-1523</v>
      </c>
      <c r="E5" s="23">
        <v>-2881</v>
      </c>
      <c r="F5" s="23">
        <v>-3861</v>
      </c>
      <c r="G5" s="23">
        <v>-1835</v>
      </c>
      <c r="H5" s="23">
        <v>-7937</v>
      </c>
      <c r="I5" s="23">
        <v>-7076</v>
      </c>
      <c r="J5" s="23">
        <v>-2667</v>
      </c>
      <c r="K5" s="23">
        <v>-1769</v>
      </c>
      <c r="L5" s="23">
        <v>-5177</v>
      </c>
    </row>
    <row r="6" spans="2:12" ht="15" customHeight="1" x14ac:dyDescent="0.2">
      <c r="B6" t="s">
        <v>221</v>
      </c>
      <c r="C6" s="23">
        <v>-19</v>
      </c>
      <c r="D6" s="23">
        <v>328</v>
      </c>
      <c r="E6" s="23">
        <v>916</v>
      </c>
      <c r="F6" s="23">
        <v>-373</v>
      </c>
      <c r="G6" s="23">
        <v>-245</v>
      </c>
      <c r="H6" s="23">
        <v>1489</v>
      </c>
      <c r="I6" s="23">
        <v>-279</v>
      </c>
      <c r="J6" s="23">
        <v>91</v>
      </c>
      <c r="K6" s="23">
        <v>176</v>
      </c>
      <c r="L6" s="23">
        <v>-26</v>
      </c>
    </row>
    <row r="7" spans="2:12" ht="15" customHeight="1" x14ac:dyDescent="0.2">
      <c r="B7" t="s">
        <v>878</v>
      </c>
      <c r="C7" s="23">
        <v>0</v>
      </c>
      <c r="D7" s="23">
        <v>0</v>
      </c>
      <c r="E7" s="23">
        <v>0</v>
      </c>
      <c r="F7" s="23">
        <v>0</v>
      </c>
      <c r="G7" s="23">
        <v>-534</v>
      </c>
      <c r="H7" s="23">
        <v>-1914</v>
      </c>
      <c r="I7" s="23">
        <v>-3108</v>
      </c>
      <c r="J7" s="23">
        <v>-1172</v>
      </c>
      <c r="K7" s="23">
        <v>-1024</v>
      </c>
      <c r="L7" s="23">
        <v>-2645</v>
      </c>
    </row>
    <row r="8" spans="2:12" ht="15" customHeight="1" x14ac:dyDescent="0.2">
      <c r="B8" t="s">
        <v>222</v>
      </c>
      <c r="C8" s="23">
        <v>-394</v>
      </c>
      <c r="D8" s="23">
        <v>1279</v>
      </c>
      <c r="E8" s="23">
        <v>1512</v>
      </c>
      <c r="F8" s="23">
        <v>1867</v>
      </c>
      <c r="G8" s="23">
        <v>3382</v>
      </c>
      <c r="H8" s="23">
        <v>6938</v>
      </c>
      <c r="I8" s="23">
        <v>4119</v>
      </c>
      <c r="J8" s="23">
        <v>-1334</v>
      </c>
      <c r="K8" s="23">
        <v>2322</v>
      </c>
      <c r="L8" s="23">
        <v>5209</v>
      </c>
    </row>
    <row r="9" spans="2:12" ht="15" customHeight="1" x14ac:dyDescent="0.2">
      <c r="B9" s="54" t="s">
        <v>223</v>
      </c>
      <c r="C9" s="23">
        <v>-2156</v>
      </c>
      <c r="D9" s="23">
        <v>84</v>
      </c>
      <c r="E9" s="23">
        <v>-453</v>
      </c>
      <c r="F9" s="23">
        <v>-2367</v>
      </c>
      <c r="G9" s="23">
        <v>768</v>
      </c>
      <c r="H9" s="23">
        <v>-1424</v>
      </c>
      <c r="I9" s="23">
        <v>-6344</v>
      </c>
      <c r="J9" s="23">
        <v>-5082</v>
      </c>
      <c r="K9" s="23">
        <v>-295</v>
      </c>
      <c r="L9" s="23">
        <v>-2639</v>
      </c>
    </row>
    <row r="10" spans="2:12" ht="15" customHeight="1" x14ac:dyDescent="0.2">
      <c r="B10" t="s">
        <v>224</v>
      </c>
      <c r="C10" s="23">
        <v>-5653</v>
      </c>
      <c r="D10" s="23">
        <v>-6829</v>
      </c>
      <c r="E10" s="23">
        <v>-6832</v>
      </c>
      <c r="F10" s="23">
        <v>-4550</v>
      </c>
      <c r="G10" s="23">
        <v>-6389</v>
      </c>
      <c r="H10" s="23">
        <v>-7612</v>
      </c>
      <c r="I10" s="23">
        <v>-8794</v>
      </c>
      <c r="J10" s="23">
        <v>-9231</v>
      </c>
      <c r="K10" s="23">
        <v>-5602</v>
      </c>
      <c r="L10" s="23">
        <v>-8648</v>
      </c>
    </row>
    <row r="11" spans="2:12" ht="15" customHeight="1" x14ac:dyDescent="0.2">
      <c r="B11" s="54" t="s">
        <v>879</v>
      </c>
      <c r="C11" s="23">
        <v>-14664</v>
      </c>
      <c r="D11" s="23">
        <v>4533</v>
      </c>
      <c r="E11" s="23">
        <v>-632</v>
      </c>
      <c r="F11" s="23">
        <v>-331</v>
      </c>
      <c r="G11" s="23">
        <v>-7373</v>
      </c>
      <c r="H11" s="23">
        <v>-6485</v>
      </c>
      <c r="I11" s="23">
        <v>-1071</v>
      </c>
      <c r="J11" s="23">
        <v>-5093</v>
      </c>
      <c r="K11" s="23">
        <v>-1864</v>
      </c>
      <c r="L11" s="23">
        <v>3546</v>
      </c>
    </row>
    <row r="12" spans="2:12" ht="15" customHeight="1" x14ac:dyDescent="0.2">
      <c r="B12" t="s">
        <v>227</v>
      </c>
      <c r="C12" s="23">
        <v>-2760</v>
      </c>
      <c r="D12" s="23">
        <v>-1998</v>
      </c>
      <c r="E12" s="23">
        <v>-2445</v>
      </c>
      <c r="F12" s="23">
        <v>-3307</v>
      </c>
      <c r="G12" s="23">
        <v>-2107</v>
      </c>
      <c r="H12" s="23">
        <v>-2161</v>
      </c>
      <c r="I12" s="23">
        <v>-2579</v>
      </c>
      <c r="J12" s="23">
        <v>-2201</v>
      </c>
      <c r="K12" s="23">
        <v>-2237</v>
      </c>
      <c r="L12" s="23">
        <v>-2727</v>
      </c>
    </row>
    <row r="13" spans="2:12" ht="15" customHeight="1" x14ac:dyDescent="0.2">
      <c r="B13" t="s">
        <v>229</v>
      </c>
      <c r="C13" s="23">
        <v>-66410</v>
      </c>
      <c r="D13" s="23">
        <v>-69159</v>
      </c>
      <c r="E13" s="23">
        <v>-79410</v>
      </c>
      <c r="F13" s="23">
        <v>-37482</v>
      </c>
      <c r="G13" s="23">
        <v>-46738</v>
      </c>
      <c r="H13" s="23">
        <v>-59951</v>
      </c>
      <c r="I13" s="23">
        <v>-75800</v>
      </c>
      <c r="J13" s="23">
        <v>-78092</v>
      </c>
      <c r="K13" s="23">
        <v>-82742</v>
      </c>
      <c r="L13" s="23">
        <v>-82617</v>
      </c>
    </row>
    <row r="14" spans="2:12" ht="15" customHeight="1" x14ac:dyDescent="0.2">
      <c r="B14" t="s">
        <v>230</v>
      </c>
      <c r="C14" s="23">
        <v>52048</v>
      </c>
      <c r="D14" s="23">
        <v>74003</v>
      </c>
      <c r="E14" s="23">
        <v>78098</v>
      </c>
      <c r="F14" s="23">
        <v>38861</v>
      </c>
      <c r="G14" s="23">
        <v>40381</v>
      </c>
      <c r="H14" s="23">
        <v>57356</v>
      </c>
      <c r="I14" s="23">
        <v>76722</v>
      </c>
      <c r="J14" s="23">
        <v>72930</v>
      </c>
      <c r="K14" s="23">
        <v>84877</v>
      </c>
      <c r="L14" s="23">
        <v>89699</v>
      </c>
    </row>
    <row r="15" spans="2:12" ht="15" customHeight="1" x14ac:dyDescent="0.2">
      <c r="B15" t="s">
        <v>231</v>
      </c>
      <c r="C15" s="23">
        <v>0</v>
      </c>
      <c r="D15" s="23">
        <v>0</v>
      </c>
      <c r="E15" s="23">
        <v>0</v>
      </c>
      <c r="F15" s="23">
        <v>0</v>
      </c>
      <c r="G15" s="23">
        <v>0</v>
      </c>
      <c r="H15" s="23">
        <v>0</v>
      </c>
      <c r="I15" s="23">
        <v>0</v>
      </c>
      <c r="J15" s="23">
        <v>0</v>
      </c>
      <c r="K15" s="23">
        <v>0</v>
      </c>
      <c r="L15" s="23">
        <v>0</v>
      </c>
    </row>
    <row r="16" spans="2:12" ht="15" customHeight="1" x14ac:dyDescent="0.2">
      <c r="B16" t="s">
        <v>232</v>
      </c>
      <c r="C16" s="23">
        <v>2753</v>
      </c>
      <c r="D16" s="23">
        <v>1768</v>
      </c>
      <c r="E16" s="23">
        <v>1557</v>
      </c>
      <c r="F16" s="23">
        <v>1929</v>
      </c>
      <c r="G16" s="23">
        <v>1418</v>
      </c>
      <c r="H16" s="23">
        <v>1898</v>
      </c>
      <c r="I16" s="23">
        <v>1525</v>
      </c>
      <c r="J16" s="23">
        <v>1768</v>
      </c>
      <c r="K16" s="23">
        <v>2040</v>
      </c>
      <c r="L16" s="23">
        <v>2713</v>
      </c>
    </row>
    <row r="17" spans="2:12" ht="15" customHeight="1" x14ac:dyDescent="0.2">
      <c r="B17" t="s">
        <v>234</v>
      </c>
      <c r="C17" s="23">
        <v>0</v>
      </c>
      <c r="D17" s="23">
        <v>0</v>
      </c>
      <c r="E17" s="23">
        <v>0</v>
      </c>
      <c r="F17" s="23">
        <v>0</v>
      </c>
      <c r="G17" s="23">
        <v>0</v>
      </c>
      <c r="H17" s="23">
        <v>0</v>
      </c>
      <c r="I17" s="23">
        <v>0</v>
      </c>
      <c r="J17" s="23">
        <v>0</v>
      </c>
      <c r="K17" s="23">
        <v>0</v>
      </c>
      <c r="L17" s="23">
        <v>0</v>
      </c>
    </row>
    <row r="18" spans="2:12" ht="15" customHeight="1" x14ac:dyDescent="0.2">
      <c r="B18" t="s">
        <v>235</v>
      </c>
      <c r="C18" s="23">
        <v>-164</v>
      </c>
      <c r="D18" s="23">
        <v>-130</v>
      </c>
      <c r="E18" s="23">
        <v>-24</v>
      </c>
      <c r="F18" s="23">
        <v>-108</v>
      </c>
      <c r="G18" s="23">
        <v>0</v>
      </c>
      <c r="H18" s="23">
        <v>0</v>
      </c>
      <c r="I18" s="23">
        <v>0</v>
      </c>
      <c r="J18" s="23">
        <v>0</v>
      </c>
      <c r="K18" s="23">
        <v>0</v>
      </c>
      <c r="L18" s="23">
        <v>0</v>
      </c>
    </row>
    <row r="19" spans="2:12" ht="15" customHeight="1" x14ac:dyDescent="0.2">
      <c r="B19" t="s">
        <v>236</v>
      </c>
      <c r="C19" s="23">
        <v>-131</v>
      </c>
      <c r="D19" s="23">
        <v>49</v>
      </c>
      <c r="E19" s="23">
        <v>1592</v>
      </c>
      <c r="F19" s="23">
        <v>-224</v>
      </c>
      <c r="G19" s="23">
        <v>-327</v>
      </c>
      <c r="H19" s="23">
        <v>-3627</v>
      </c>
      <c r="I19" s="23">
        <v>-939</v>
      </c>
      <c r="J19" s="23">
        <v>502</v>
      </c>
      <c r="K19" s="23">
        <v>-3802</v>
      </c>
      <c r="L19" s="23">
        <v>-3522</v>
      </c>
    </row>
    <row r="20" spans="2:12" ht="15" customHeight="1" x14ac:dyDescent="0.2">
      <c r="B20" s="54" t="s">
        <v>880</v>
      </c>
      <c r="C20" s="23">
        <v>-6939</v>
      </c>
      <c r="D20" s="23">
        <v>-20505</v>
      </c>
      <c r="E20" s="23">
        <v>-14512</v>
      </c>
      <c r="F20" s="23">
        <v>-17591</v>
      </c>
      <c r="G20" s="23">
        <v>-9786</v>
      </c>
      <c r="H20" s="23">
        <v>-24642</v>
      </c>
      <c r="I20" s="23">
        <v>-26695</v>
      </c>
      <c r="J20" s="23">
        <v>-17504</v>
      </c>
      <c r="K20" s="23">
        <v>-24161</v>
      </c>
      <c r="L20" s="23">
        <v>-39786</v>
      </c>
    </row>
    <row r="21" spans="2:12" ht="15" customHeight="1" x14ac:dyDescent="0.2">
      <c r="B21" t="s">
        <v>239</v>
      </c>
      <c r="C21" s="23">
        <v>0</v>
      </c>
      <c r="D21" s="23">
        <v>5</v>
      </c>
      <c r="E21" s="23">
        <v>6</v>
      </c>
      <c r="F21" s="23">
        <v>6</v>
      </c>
      <c r="G21" s="23">
        <v>15</v>
      </c>
      <c r="H21" s="23">
        <v>21</v>
      </c>
      <c r="I21" s="23">
        <v>35</v>
      </c>
      <c r="J21" s="23">
        <v>5</v>
      </c>
      <c r="K21" s="23">
        <v>6</v>
      </c>
      <c r="L21" s="23">
        <v>2</v>
      </c>
    </row>
    <row r="22" spans="2:12" ht="15" customHeight="1" x14ac:dyDescent="0.2">
      <c r="B22" t="s">
        <v>241</v>
      </c>
      <c r="C22" s="23">
        <v>0</v>
      </c>
      <c r="D22" s="23">
        <v>0</v>
      </c>
      <c r="E22" s="23">
        <v>0</v>
      </c>
      <c r="F22" s="23">
        <v>0</v>
      </c>
      <c r="G22" s="23">
        <v>0</v>
      </c>
      <c r="H22" s="23">
        <v>0</v>
      </c>
      <c r="I22" s="23">
        <v>0</v>
      </c>
      <c r="J22" s="23">
        <v>0</v>
      </c>
      <c r="K22" s="23">
        <v>-985</v>
      </c>
      <c r="L22" s="23">
        <v>0</v>
      </c>
    </row>
    <row r="23" spans="2:12" ht="15" customHeight="1" x14ac:dyDescent="0.2">
      <c r="B23" t="s">
        <v>243</v>
      </c>
      <c r="C23" s="23">
        <v>-6939</v>
      </c>
      <c r="D23" s="23">
        <v>-7464</v>
      </c>
      <c r="E23" s="23">
        <v>-13705</v>
      </c>
      <c r="F23" s="23">
        <v>-9548</v>
      </c>
      <c r="G23" s="23">
        <v>-9137</v>
      </c>
      <c r="H23" s="23">
        <v>-12731</v>
      </c>
      <c r="I23" s="23">
        <v>-13653</v>
      </c>
      <c r="J23" s="23">
        <v>-14731</v>
      </c>
      <c r="K23" s="23">
        <v>-20289</v>
      </c>
      <c r="L23" s="23">
        <v>-18656</v>
      </c>
    </row>
    <row r="24" spans="2:12" ht="15" customHeight="1" x14ac:dyDescent="0.2">
      <c r="B24" t="s">
        <v>244</v>
      </c>
      <c r="C24" s="23">
        <v>0</v>
      </c>
      <c r="D24" s="23">
        <v>0</v>
      </c>
      <c r="E24" s="23">
        <v>0</v>
      </c>
      <c r="F24" s="23">
        <v>-571</v>
      </c>
      <c r="G24" s="23">
        <v>-698</v>
      </c>
      <c r="H24" s="23">
        <v>-915</v>
      </c>
      <c r="I24" s="23">
        <v>-1231</v>
      </c>
      <c r="J24" s="23">
        <v>-2024</v>
      </c>
      <c r="K24" s="23">
        <v>-2355</v>
      </c>
      <c r="L24" s="23">
        <v>-2824</v>
      </c>
    </row>
    <row r="25" spans="2:12" ht="15" customHeight="1" x14ac:dyDescent="0.2">
      <c r="B25" t="s">
        <v>245</v>
      </c>
      <c r="C25" s="23">
        <v>0</v>
      </c>
      <c r="D25" s="23">
        <v>-13046</v>
      </c>
      <c r="E25" s="23">
        <v>-813</v>
      </c>
      <c r="F25" s="23">
        <v>-7478</v>
      </c>
      <c r="G25" s="23">
        <v>34</v>
      </c>
      <c r="H25" s="23">
        <v>-11017</v>
      </c>
      <c r="I25" s="23">
        <v>-11846</v>
      </c>
      <c r="J25" s="23">
        <v>-754</v>
      </c>
      <c r="K25" s="23">
        <v>-538</v>
      </c>
      <c r="L25" s="23">
        <v>-18308</v>
      </c>
    </row>
    <row r="26" spans="2:12" ht="15" customHeight="1" x14ac:dyDescent="0.2">
      <c r="B26" t="s">
        <v>247</v>
      </c>
      <c r="C26" s="23">
        <v>-10072</v>
      </c>
      <c r="D26" s="23">
        <v>-2754</v>
      </c>
      <c r="E26" s="23">
        <v>-303</v>
      </c>
      <c r="F26" s="23">
        <v>-919</v>
      </c>
      <c r="G26" s="23">
        <v>6065</v>
      </c>
      <c r="H26" s="23">
        <v>-7242</v>
      </c>
      <c r="I26" s="23">
        <v>-5299</v>
      </c>
      <c r="J26" s="23">
        <v>2613</v>
      </c>
      <c r="K26" s="23">
        <v>9669</v>
      </c>
      <c r="L26" s="23">
        <v>-2254</v>
      </c>
    </row>
    <row r="27" spans="2:12" ht="15" customHeight="1" x14ac:dyDescent="0.2">
      <c r="B27" t="s">
        <v>881</v>
      </c>
      <c r="C27" s="23">
        <v>8771</v>
      </c>
      <c r="D27" s="23">
        <v>11220</v>
      </c>
      <c r="E27" s="23">
        <v>12396</v>
      </c>
      <c r="F27" s="23">
        <v>13696</v>
      </c>
      <c r="G27" s="23">
        <v>21117</v>
      </c>
      <c r="H27" s="23">
        <v>21724</v>
      </c>
      <c r="I27" s="23">
        <v>19888</v>
      </c>
      <c r="J27" s="23">
        <v>23009</v>
      </c>
      <c r="K27" s="23">
        <v>33457</v>
      </c>
      <c r="L27" s="23">
        <v>31259</v>
      </c>
    </row>
    <row r="28" spans="2:12" ht="15" customHeight="1" x14ac:dyDescent="0.2">
      <c r="B28" t="s">
        <v>882</v>
      </c>
      <c r="C28" s="63">
        <v>0.92</v>
      </c>
      <c r="D28" s="63">
        <v>1.07</v>
      </c>
      <c r="E28" s="63">
        <v>1.07</v>
      </c>
      <c r="F28" s="63">
        <v>0.97</v>
      </c>
      <c r="G28" s="63">
        <v>1.06</v>
      </c>
      <c r="H28" s="63">
        <v>1</v>
      </c>
      <c r="I28" s="63">
        <v>0.89</v>
      </c>
      <c r="J28" s="63">
        <v>0.95</v>
      </c>
      <c r="K28" s="63">
        <v>1.05</v>
      </c>
      <c r="L28" s="63">
        <v>1.01</v>
      </c>
    </row>
    <row r="33" spans="3:12" ht="15" customHeight="1" x14ac:dyDescent="0.2">
      <c r="C33" s="71"/>
      <c r="D33" s="71"/>
      <c r="E33" s="71"/>
      <c r="F33" s="71"/>
      <c r="G33" s="71"/>
      <c r="H33" s="71"/>
      <c r="I33" s="71"/>
      <c r="J33" s="71"/>
      <c r="K33" s="71"/>
      <c r="L33" s="71"/>
    </row>
    <row r="34" spans="3:12" ht="15" customHeight="1" x14ac:dyDescent="0.2">
      <c r="C34" s="103"/>
      <c r="D34" s="103"/>
      <c r="E34" s="103"/>
      <c r="F34" s="103"/>
      <c r="G34" s="103"/>
      <c r="H34" s="103"/>
      <c r="I34" s="103"/>
      <c r="J34" s="103"/>
      <c r="K34" s="103"/>
      <c r="L34" s="103"/>
    </row>
    <row r="35" spans="3:12" ht="15" customHeight="1" x14ac:dyDescent="0.2">
      <c r="C35" s="103"/>
      <c r="D35" s="103"/>
      <c r="E35" s="103"/>
      <c r="F35" s="103"/>
      <c r="G35" s="103"/>
      <c r="H35" s="103"/>
      <c r="I35" s="103"/>
      <c r="J35" s="103"/>
      <c r="K35" s="103"/>
      <c r="L35" s="103"/>
    </row>
    <row r="36" spans="3:12" ht="15" customHeight="1" x14ac:dyDescent="0.2">
      <c r="C36" s="103"/>
      <c r="D36" s="103"/>
      <c r="E36" s="103"/>
      <c r="F36" s="103"/>
      <c r="G36" s="103"/>
      <c r="H36" s="103"/>
      <c r="I36" s="103"/>
      <c r="J36" s="103"/>
      <c r="K36" s="103"/>
      <c r="L36" s="103"/>
    </row>
    <row r="37" spans="3:12" ht="15" customHeight="1" x14ac:dyDescent="0.2">
      <c r="H37" s="103"/>
    </row>
    <row r="38" spans="3:12" ht="15" customHeight="1" x14ac:dyDescent="0.2">
      <c r="H38" s="103"/>
      <c r="I38" s="103"/>
      <c r="J38" s="103"/>
      <c r="K38" s="103"/>
      <c r="L38" s="103"/>
    </row>
    <row r="39" spans="3:12" ht="15" customHeight="1" x14ac:dyDescent="0.2">
      <c r="D39" s="103"/>
      <c r="E39" s="103"/>
      <c r="F39" s="103"/>
      <c r="G39" s="103"/>
      <c r="H39" s="103"/>
      <c r="I39" s="103"/>
      <c r="J39" s="103"/>
      <c r="K39" s="103"/>
      <c r="L39" s="103"/>
    </row>
    <row r="40" spans="3:12" ht="15" customHeight="1" x14ac:dyDescent="0.2">
      <c r="C40" s="103"/>
      <c r="F40" s="103"/>
      <c r="H40" s="103"/>
      <c r="I40" s="103"/>
      <c r="J40" s="103"/>
      <c r="L40" s="103"/>
    </row>
    <row r="41" spans="3:12" ht="15" customHeight="1" x14ac:dyDescent="0.2">
      <c r="C41" s="103"/>
      <c r="D41" s="103"/>
      <c r="E41" s="103"/>
      <c r="F41" s="103"/>
      <c r="G41" s="103"/>
      <c r="H41" s="103"/>
      <c r="I41" s="103"/>
      <c r="J41" s="103"/>
      <c r="K41" s="103"/>
      <c r="L41" s="103"/>
    </row>
    <row r="42" spans="3:12" ht="15" customHeight="1" x14ac:dyDescent="0.2">
      <c r="C42" s="103"/>
      <c r="D42" s="103"/>
      <c r="G42" s="103"/>
      <c r="H42" s="103"/>
      <c r="I42" s="103"/>
      <c r="J42" s="103"/>
      <c r="K42" s="103"/>
      <c r="L42" s="103"/>
    </row>
    <row r="43" spans="3:12" ht="15" customHeight="1" x14ac:dyDescent="0.2">
      <c r="C43" s="103"/>
      <c r="D43" s="103"/>
      <c r="E43" s="103"/>
      <c r="F43" s="103"/>
      <c r="G43" s="103"/>
      <c r="H43" s="103"/>
      <c r="I43" s="103"/>
      <c r="J43" s="103"/>
      <c r="K43" s="103"/>
      <c r="L43" s="103"/>
    </row>
    <row r="44" spans="3:12" ht="15" customHeight="1" x14ac:dyDescent="0.2">
      <c r="C44" s="103"/>
      <c r="D44" s="103"/>
      <c r="E44" s="103"/>
      <c r="F44" s="103"/>
      <c r="G44" s="103"/>
      <c r="H44" s="103"/>
      <c r="I44" s="103"/>
      <c r="J44" s="103"/>
      <c r="K44" s="103"/>
      <c r="L44" s="103"/>
    </row>
    <row r="45" spans="3:12" ht="15" customHeight="1" x14ac:dyDescent="0.2">
      <c r="C45" s="103"/>
      <c r="D45" s="103"/>
      <c r="E45" s="103"/>
      <c r="F45" s="103"/>
      <c r="G45" s="103"/>
      <c r="H45" s="103"/>
      <c r="I45" s="103"/>
      <c r="J45" s="103"/>
      <c r="K45" s="103"/>
      <c r="L45" s="103"/>
    </row>
    <row r="47" spans="3:12" ht="15" customHeight="1" x14ac:dyDescent="0.2">
      <c r="C47" s="103"/>
      <c r="D47" s="103"/>
      <c r="E47" s="103"/>
      <c r="F47" s="103"/>
      <c r="G47" s="103"/>
      <c r="H47" s="103"/>
      <c r="I47" s="103"/>
      <c r="J47" s="103"/>
      <c r="K47" s="103"/>
      <c r="L47" s="103"/>
    </row>
    <row r="50" spans="3:12" ht="15" customHeight="1" x14ac:dyDescent="0.2">
      <c r="E50" s="103"/>
      <c r="H50" s="103"/>
      <c r="K50" s="103"/>
      <c r="L50" s="103"/>
    </row>
    <row r="51" spans="3:12" ht="15" customHeight="1" x14ac:dyDescent="0.2">
      <c r="C51" s="103"/>
      <c r="D51" s="103"/>
      <c r="E51" s="103"/>
      <c r="F51" s="103"/>
      <c r="G51" s="103"/>
      <c r="H51" s="103"/>
      <c r="I51" s="103"/>
      <c r="J51" s="103"/>
      <c r="K51" s="103"/>
      <c r="L51" s="103"/>
    </row>
    <row r="54" spans="3:12" ht="15" customHeight="1" x14ac:dyDescent="0.2">
      <c r="C54" s="103"/>
      <c r="D54" s="103"/>
      <c r="E54" s="103"/>
      <c r="F54" s="103"/>
      <c r="G54" s="103"/>
      <c r="H54" s="103"/>
      <c r="I54" s="103"/>
      <c r="J54" s="103"/>
      <c r="K54" s="103"/>
      <c r="L54" s="103"/>
    </row>
    <row r="55" spans="3:12" ht="15" customHeight="1" x14ac:dyDescent="0.2">
      <c r="I55" s="103"/>
      <c r="J55" s="103"/>
      <c r="K55" s="103"/>
      <c r="L55" s="103"/>
    </row>
    <row r="56" spans="3:12" ht="15" customHeight="1" x14ac:dyDescent="0.2">
      <c r="D56" s="103"/>
      <c r="F56" s="103"/>
      <c r="H56" s="103"/>
      <c r="I56" s="103"/>
      <c r="L56" s="103"/>
    </row>
    <row r="57" spans="3:12" ht="15" customHeight="1" x14ac:dyDescent="0.2">
      <c r="C57" s="103"/>
      <c r="D57" s="103"/>
      <c r="G57" s="103"/>
      <c r="H57" s="103"/>
      <c r="I57" s="103"/>
      <c r="J57" s="103"/>
      <c r="K57" s="103"/>
      <c r="L57" s="103"/>
    </row>
    <row r="58" spans="3:12" ht="15" customHeight="1" x14ac:dyDescent="0.2">
      <c r="C58" s="103"/>
      <c r="D58" s="103"/>
      <c r="E58" s="103"/>
      <c r="F58" s="103"/>
      <c r="G58" s="103"/>
      <c r="H58" s="103"/>
      <c r="I58" s="103"/>
      <c r="J58" s="103"/>
      <c r="K58" s="103"/>
      <c r="L58" s="103"/>
    </row>
    <row r="59" spans="3:12" ht="15" customHeight="1" x14ac:dyDescent="0.2">
      <c r="C59" s="63"/>
      <c r="D59" s="63"/>
      <c r="E59" s="63"/>
      <c r="F59" s="63"/>
      <c r="G59" s="63"/>
      <c r="H59" s="63"/>
      <c r="I59" s="63"/>
      <c r="J59" s="63"/>
      <c r="K59" s="63"/>
      <c r="L59" s="63"/>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36</vt:i4>
      </vt:variant>
      <vt:variant>
        <vt:lpstr>Named Ranges</vt:lpstr>
      </vt:variant>
      <vt:variant>
        <vt:i4>2</vt:i4>
      </vt:variant>
    </vt:vector>
  </HeadingPairs>
  <TitlesOfParts>
    <vt:vector size="38" baseType="lpstr">
      <vt:lpstr>Model Checks</vt:lpstr>
      <vt:lpstr>Valuation Summary</vt:lpstr>
      <vt:lpstr>Investment Thesis</vt:lpstr>
      <vt:lpstr>Legacy vs Integrated</vt:lpstr>
      <vt:lpstr>Audit Summary</vt:lpstr>
      <vt:lpstr>HistoricalFS</vt:lpstr>
      <vt:lpstr>Profit &amp; Loss</vt:lpstr>
      <vt:lpstr>Balance Sheet</vt:lpstr>
      <vt:lpstr>Quarters</vt:lpstr>
      <vt:lpstr>Common Size Statement</vt:lpstr>
      <vt:lpstr>Ratio Analysis</vt:lpstr>
      <vt:lpstr>Dupont Analysis</vt:lpstr>
      <vt:lpstr>Altman Z Score</vt:lpstr>
      <vt:lpstr>Operating Drivers</vt:lpstr>
      <vt:lpstr>Forecasting</vt:lpstr>
      <vt:lpstr>Forecast Scenarios</vt:lpstr>
      <vt:lpstr>Scenarios</vt:lpstr>
      <vt:lpstr>Segment Forecast</vt:lpstr>
      <vt:lpstr>Segment Profitability</vt:lpstr>
      <vt:lpstr>AI &amp; Business Outlook</vt:lpstr>
      <vt:lpstr>Normalization Bridge</vt:lpstr>
      <vt:lpstr>WACC</vt:lpstr>
      <vt:lpstr>Beta - Regression</vt:lpstr>
      <vt:lpstr>Peer - Beta Regression</vt:lpstr>
      <vt:lpstr>Beta - Comps</vt:lpstr>
      <vt:lpstr>Rm</vt:lpstr>
      <vt:lpstr>Intrinsic Growth</vt:lpstr>
      <vt:lpstr>DCF&gt;</vt:lpstr>
      <vt:lpstr>Integrated Operating Model</vt:lpstr>
      <vt:lpstr>DCF Integration</vt:lpstr>
      <vt:lpstr>Comps Val</vt:lpstr>
      <vt:lpstr>Football Field</vt:lpstr>
      <vt:lpstr>Data Sheet</vt:lpstr>
      <vt:lpstr>Data&gt;</vt:lpstr>
      <vt:lpstr>Raw FS</vt:lpstr>
      <vt:lpstr>Cash Flow Data</vt:lpstr>
      <vt:lpstr>'Model Checks'!Print_Area</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Infosys Ltd — Equity Research &amp; Valuation Model</dc:title>
  <dc:subject>Self-directed equity research, FCFF DCF and comparable-company valuation</dc:subject>
  <dc:creator>Sujal Singh</dc:creator>
  <dc:description/>
  <cp:lastModifiedBy>Shubham Singh</cp:lastModifiedBy>
  <cp:revision>20</cp:revision>
  <dcterms:created xsi:type="dcterms:W3CDTF">2026-08-21T13:30:22Z</dcterms:created>
  <dcterms:modified xsi:type="dcterms:W3CDTF">2026-08-29T16:15:17Z</dcterms:modified>
  <dc:language>en-US</dc:language>
</cp:coreProperties>
</file>